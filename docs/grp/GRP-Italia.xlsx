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nel Italia" sheetId="1" state="visible" r:id="rId3"/>
    <sheet name="Fase 1" sheetId="2" state="visible" r:id="rId4"/>
    <sheet name="Fase 2" sheetId="3" state="visible" r:id="rId5"/>
    <sheet name="Fase 3" sheetId="4" state="visible" r:id="rId6"/>
    <sheet name="Fase 4" sheetId="5" state="visible" r:id="rId7"/>
    <sheet name="FUORI" sheetId="6" state="visible" r:id="rId8"/>
    <sheet name="Tracker 2027-2032" sheetId="7" state="visible" r:id="rId9"/>
    <sheet name="Esecuzione" sheetId="8" state="visible" r:id="rId10"/>
    <sheet name="Funnel 27 paesi" sheetId="9" state="visible" r:id="rId11"/>
    <sheet name="Costi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<sst xmlns="http://schemas.openxmlformats.org/spreadsheetml/2006/main" count="1791" uniqueCount="963">
  <si>
    <t xml:space="preserve">Great Remigration Plan · Italia · Funnel della popolazione</t>
  </si>
  <si>
    <t xml:space="preserve">Albero additivo: ogni voce è la somma delle voci sotto (“+”); “=” marca i totali; le voci “residuo” chiudono la somma per differenza.</t>
  </si>
  <si>
    <t xml:space="preserve">Fase 1</t>
  </si>
  <si>
    <t xml:space="preserve">Irregolari: rimpatriabili con la legge attuale</t>
  </si>
  <si>
    <t xml:space="preserve">Fase 2</t>
  </si>
  <si>
    <t xml:space="preserve">Regolari extra-UE: entrano quando perdono il titolo (legge ordinaria, accordi di riammissione)</t>
  </si>
  <si>
    <t xml:space="preserve">Fase 3</t>
  </si>
  <si>
    <t xml:space="preserve">Cittadini di origine straniera: serve riforma della cittadinanza e un cambio costituzionale/CEDU</t>
  </si>
  <si>
    <t xml:space="preserve">Fase 4</t>
  </si>
  <si>
    <t xml:space="preserve">Cittadini UE e protezione temporanea: dipende dal diritto UE</t>
  </si>
  <si>
    <t xml:space="preserve">FUORI</t>
  </si>
  <si>
    <t xml:space="preserve">Nessuna remigrazione</t>
  </si>
  <si>
    <t xml:space="preserve">Codice</t>
  </si>
  <si>
    <t xml:space="preserve">Categoria</t>
  </si>
  <si>
    <t xml:space="preserve">Persone</t>
  </si>
  <si>
    <t xml:space="preserve">% tot.</t>
  </si>
  <si>
    <t xml:space="preserve">Fase</t>
  </si>
  <si>
    <t xml:space="preserve">Tab di dettaglio</t>
  </si>
  <si>
    <t xml:space="preserve">Fonte · anno</t>
  </si>
  <si>
    <t xml:space="preserve">Nota</t>
  </si>
  <si>
    <t xml:space="preserve">PRESENTI IN ITALIA (residenti + irregolari stimati)</t>
  </si>
  <si>
    <t xml:space="preserve">=</t>
  </si>
  <si>
    <t xml:space="preserve">Calcolo</t>
  </si>
  <si>
    <t xml:space="preserve">A</t>
  </si>
  <si>
    <t xml:space="preserve">Cittadini italiani</t>
  </si>
  <si>
    <t xml:space="preserve">Eurostat migr_pop1ctz · 1.1.2025</t>
  </si>
  <si>
    <t xml:space="preserve">A1</t>
  </si>
  <si>
    <t xml:space="preserve">Nati in Italia</t>
  </si>
  <si>
    <t xml:space="preserve">Calcolo: A − A2</t>
  </si>
  <si>
    <t xml:space="preserve">A1a</t>
  </si>
  <si>
    <t xml:space="preserve">da genitori nati in Italia (residuo)</t>
  </si>
  <si>
    <t xml:space="preserve">+</t>
  </si>
  <si>
    <t xml:space="preserve">Calcolo: A1 − A1b</t>
  </si>
  <si>
    <t xml:space="preserve">A1b</t>
  </si>
  <si>
    <t xml:space="preserve">seconda generazione: almeno un genitore nato all’estero</t>
  </si>
  <si>
    <t xml:space="preserve">Seconda generazione</t>
  </si>
  <si>
    <t xml:space="preserve">Eurostat LFS 2025, stima</t>
  </si>
  <si>
    <t xml:space="preserve">Solo 15-74 anni</t>
  </si>
  <si>
    <t xml:space="preserve">A2</t>
  </si>
  <si>
    <t xml:space="preserve">Nati all’estero</t>
  </si>
  <si>
    <t xml:space="preserve">Naturalizzati</t>
  </si>
  <si>
    <t xml:space="preserve">Eurostat migr_pop5ctz · 1.1.2025 (2.358.748)</t>
  </si>
  <si>
    <t xml:space="preserve">A2a</t>
  </si>
  <si>
    <t xml:space="preserve">italiani per acquisizione della cittadinanza</t>
  </si>
  <si>
    <t xml:space="preserve">ISTAT stima · 31.12.2024</t>
  </si>
  <si>
    <t xml:space="preserve">Include naturalizzati nati in Italia (sovrapposto in parte ad A1b)</t>
  </si>
  <si>
    <t xml:space="preserve">A2b</t>
  </si>
  <si>
    <t xml:space="preserve">italiani dalla nascita nati all’estero (residuo)</t>
  </si>
  <si>
    <t xml:space="preserve">Calcolo: 2.358.748 − A2a</t>
  </si>
  <si>
    <t xml:space="preserve">Figli di emigrati, iure sanguinis</t>
  </si>
  <si>
    <t xml:space="preserve">B</t>
  </si>
  <si>
    <t xml:space="preserve">Cittadini di altri Stati UE</t>
  </si>
  <si>
    <t xml:space="preserve">Cittadini UE</t>
  </si>
  <si>
    <t xml:space="preserve">Eurostat migr_pop1ctz · 1.1.2025 (1.373.870)</t>
  </si>
  <si>
    <t xml:space="preserve">B1</t>
  </si>
  <si>
    <t xml:space="preserve">Romania</t>
  </si>
  <si>
    <t xml:space="preserve">ISTAT · 1.1.2025</t>
  </si>
  <si>
    <t xml:space="preserve">B2</t>
  </si>
  <si>
    <t xml:space="preserve">altri Stati UE (residuo)</t>
  </si>
  <si>
    <t xml:space="preserve">Calcolo: 1.373.870 − B1</t>
  </si>
  <si>
    <t xml:space="preserve">C</t>
  </si>
  <si>
    <t xml:space="preserve">Cittadini extra-UE residenti</t>
  </si>
  <si>
    <t xml:space="preserve">Eurostat migr_pop1ctz · 1.1.2025 (3.996.856)</t>
  </si>
  <si>
    <t xml:space="preserve">C1</t>
  </si>
  <si>
    <t xml:space="preserve">con permesso di soggiorno valido</t>
  </si>
  <si>
    <t xml:space="preserve">ISTAT · 31.12.2024 (3.810.741)</t>
  </si>
  <si>
    <t xml:space="preserve">Titoli validi, residenti e non</t>
  </si>
  <si>
    <t xml:space="preserve">C1a</t>
  </si>
  <si>
    <t xml:space="preserve">lungo soggiornanti (permesso UE senza scadenza)</t>
  </si>
  <si>
    <t xml:space="preserve">Lungo soggiornanti</t>
  </si>
  <si>
    <t xml:space="preserve">ISTAT: 52,8% dello stock</t>
  </si>
  <si>
    <t xml:space="preserve">C1b</t>
  </si>
  <si>
    <t xml:space="preserve">permessi a termine</t>
  </si>
  <si>
    <t xml:space="preserve">Calcolo: 3.810.741 − C1a</t>
  </si>
  <si>
    <t xml:space="preserve">C1b.1</t>
  </si>
  <si>
    <t xml:space="preserve">asilo e protezione</t>
  </si>
  <si>
    <t xml:space="preserve">Protezione e asilo</t>
  </si>
  <si>
    <t xml:space="preserve">ISTAT · 31.12.2024 (483.673)</t>
  </si>
  <si>
    <t xml:space="preserve">C1b.1a</t>
  </si>
  <si>
    <t xml:space="preserve">protezione temporanea (Ucraina)</t>
  </si>
  <si>
    <t xml:space="preserve">ISTAT · 31.12.2024</t>
  </si>
  <si>
    <t xml:space="preserve">Scade il 4.3.2028. Eurostat (stock 2026): 60.485</t>
  </si>
  <si>
    <t xml:space="preserve">C1b.1b</t>
  </si>
  <si>
    <t xml:space="preserve">richiesta asilo in attesa di decisione</t>
  </si>
  <si>
    <t xml:space="preserve">C1b.1c</t>
  </si>
  <si>
    <t xml:space="preserve">status di rifugiato</t>
  </si>
  <si>
    <t xml:space="preserve">C1b.1d</t>
  </si>
  <si>
    <t xml:space="preserve">protezione sussidiaria</t>
  </si>
  <si>
    <t xml:space="preserve">C1b.1e</t>
  </si>
  <si>
    <t xml:space="preserve">protezione speciale e altre (residuo)</t>
  </si>
  <si>
    <t xml:space="preserve">Calcolo: 483.673 − somma sopra</t>
  </si>
  <si>
    <t xml:space="preserve">C1b.2</t>
  </si>
  <si>
    <t xml:space="preserve">lavoro, famiglia, studio, altri motivi (residuo)</t>
  </si>
  <si>
    <t xml:space="preserve">Permessi a termine</t>
  </si>
  <si>
    <t xml:space="preserve">Calcolo: 3.810.741 − C1a − C1b.1</t>
  </si>
  <si>
    <t xml:space="preserve">C2</t>
  </si>
  <si>
    <t xml:space="preserve">scarto tra residenti anagrafici e titoli validi (residuo)</t>
  </si>
  <si>
    <t xml:space="preserve">Calcolo: 3.996.856 − C1</t>
  </si>
  <si>
    <t xml:space="preserve">Differenza di fonte, non una categoria</t>
  </si>
  <si>
    <t xml:space="preserve">D</t>
  </si>
  <si>
    <t xml:space="preserve">Irregolari presenti, non residenti (stima)</t>
  </si>
  <si>
    <t xml:space="preserve">Irregolari</t>
  </si>
  <si>
    <t xml:space="preserve">ISMU · 1.1.2025</t>
  </si>
  <si>
    <t xml:space="preserve">Flussi 2025 nel perimetro operativo (non sono stock: non si sommano al funnel)</t>
  </si>
  <si>
    <t xml:space="preserve">Passaggio</t>
  </si>
  <si>
    <t xml:space="preserve">% ordini</t>
  </si>
  <si>
    <t xml:space="preserve">F1</t>
  </si>
  <si>
    <t xml:space="preserve">Trovati in posizione irregolare</t>
  </si>
  <si>
    <t xml:space="preserve">Eurostat migr_eipre · 2025</t>
  </si>
  <si>
    <t xml:space="preserve">F2</t>
  </si>
  <si>
    <t xml:space="preserve">Ordini di lasciare il territorio</t>
  </si>
  <si>
    <t xml:space="preserve">Eurostat migr_eiord · 2025</t>
  </si>
  <si>
    <t xml:space="preserve">F3</t>
  </si>
  <si>
    <t xml:space="preserve">Rimpatri verso paesi terzi eseguiti</t>
  </si>
  <si>
    <t xml:space="preserve">Eurostat migr_eirtn · 2025 (4.780)</t>
  </si>
  <si>
    <t xml:space="preserve">Tasso di esecuzione 22,4%</t>
  </si>
  <si>
    <t xml:space="preserve">F3a</t>
  </si>
  <si>
    <t xml:space="preserve">di cui dopo trattenimento in CPR</t>
  </si>
  <si>
    <t xml:space="preserve">ActionAid/UniBa · 2025</t>
  </si>
  <si>
    <t xml:space="preserve">148 giorni e 16.560 € per rimpatrio</t>
  </si>
  <si>
    <t xml:space="preserve">F3b</t>
  </si>
  <si>
    <t xml:space="preserve">di cui senza CPR (residuo)</t>
  </si>
  <si>
    <t xml:space="preserve">F4</t>
  </si>
  <si>
    <t xml:space="preserve">Rimpatri volontari assistiti (RVA)</t>
  </si>
  <si>
    <t xml:space="preserve">ActionAid/UniBa · gen 2023-lug 2025</t>
  </si>
  <si>
    <t xml:space="preserve">≈ 300 l’anno</t>
  </si>
  <si>
    <t xml:space="preserve">Categorie trasversali (tagliano le righe sopra: non si sommano)</t>
  </si>
  <si>
    <t xml:space="preserve">T1</t>
  </si>
  <si>
    <t xml:space="preserve">Stranieri nati in Italia, senza cittadinanza</t>
  </si>
  <si>
    <t xml:space="preserve">ISTAT RA 2025, stima</t>
  </si>
  <si>
    <t xml:space="preserve">≈ 1 su 6 dei residenti stranieri; in gran parte minori</t>
  </si>
  <si>
    <t xml:space="preserve">T2</t>
  </si>
  <si>
    <t xml:space="preserve">Detenuti stranieri</t>
  </si>
  <si>
    <t xml:space="preserve">Condannati</t>
  </si>
  <si>
    <t xml:space="preserve">Min. Giustizia · 30.6.2025</t>
  </si>
  <si>
    <t xml:space="preserve">Fase 1 · Irregolari e condannati</t>
  </si>
  <si>
    <t xml:space="preserve">Rimpatriabili con la legge attuale. Il problema è l’esecuzione, non la norma.</t>
  </si>
  <si>
    <t xml:space="preserve">Voce</t>
  </si>
  <si>
    <t xml:space="preserve">Stato giuridico oggi</t>
  </si>
  <si>
    <t xml:space="preserve">Cosa si può fare oggi</t>
  </si>
  <si>
    <t xml:space="preserve">Cambio di legge per remigrare</t>
  </si>
  <si>
    <t xml:space="preserve">Fonte</t>
  </si>
  <si>
    <t xml:space="preserve">TOT</t>
  </si>
  <si>
    <t xml:space="preserve">Fase 1: persone nel perimetro operativo</t>
  </si>
  <si>
    <t xml:space="preserve">Funnel Italia</t>
  </si>
  <si>
    <t xml:space="preserve">Irregolari presenti (stima)</t>
  </si>
  <si>
    <t xml:space="preserve">Espellibili (TU art. 13)</t>
  </si>
  <si>
    <t xml:space="preserve">Ordine → partenza volontaria 7-30 gg o accompagnamento; CPR fino a 18 mesi (24+6 dal 16.10.2026)</t>
  </si>
  <si>
    <t xml:space="preserve">Nessuno. Servono accordi di riammissione (Marocco, Algeria, Pakistan, Bangladesh), canale volontario, identificazione</t>
  </si>
  <si>
    <t xml:space="preserve">di cui per cittadinanza</t>
  </si>
  <si>
    <t xml:space="preserve">n.d.</t>
  </si>
  <si>
    <t xml:space="preserve">Eurostat migr_eiord per nazionalità: da estrarre</t>
  </si>
  <si>
    <t xml:space="preserve">T</t>
  </si>
  <si>
    <t xml:space="preserve">Trasversale: detenuti stranieri (dentro A, Fase 2 e Fase 4)</t>
  </si>
  <si>
    <t xml:space="preserve">Espulsione come misura di sicurezza (c.p. 235; TU art. 15) o sostitutiva/alternativa (art. 16)</t>
  </si>
  <si>
    <t xml:space="preserve">Identificare in carcere; lasciapassare pronto al fine pena; charter</t>
  </si>
  <si>
    <t xml:space="preserve">Nessuno: nel 2018 solo 825 espulsioni ex art. 16. Serve riammissione</t>
  </si>
  <si>
    <t xml:space="preserve">cittadini UE</t>
  </si>
  <si>
    <t xml:space="preserve">Dir. 2004/38 artt. 27-28</t>
  </si>
  <si>
    <t xml:space="preserve">Allontanamento art. 20 D.Lgs. 30/2007; esecuzione pena in patria (DQ 2008/909)</t>
  </si>
  <si>
    <t xml:space="preserve">Nessuno</t>
  </si>
  <si>
    <t xml:space="preserve">Min. Giustizia</t>
  </si>
  <si>
    <t xml:space="preserve">extra-UE</t>
  </si>
  <si>
    <t xml:space="preserve">T2a</t>
  </si>
  <si>
    <t xml:space="preserve">Marocco</t>
  </si>
  <si>
    <t xml:space="preserve">Idem</t>
  </si>
  <si>
    <t xml:space="preserve">Accordo di riammissione da negoziare (visti art. 25a)</t>
  </si>
  <si>
    <t xml:space="preserve">T2b</t>
  </si>
  <si>
    <t xml:space="preserve">Tunisia</t>
  </si>
  <si>
    <t xml:space="preserve">Tetto 80 rimpatri/settimana da alzare</t>
  </si>
  <si>
    <t xml:space="preserve">T2c</t>
  </si>
  <si>
    <t xml:space="preserve">altre cittadinanze (residuo)</t>
  </si>
  <si>
    <t xml:space="preserve">Albania ≈ 1.960, Nigeria ≈ 1.000, Egitto, Senegal, Algeria 400-600</t>
  </si>
  <si>
    <t xml:space="preserve">T3</t>
  </si>
  <si>
    <t xml:space="preserve">Stranieri in esecuzione penale esterna</t>
  </si>
  <si>
    <t xml:space="preserve">Misure alternative</t>
  </si>
  <si>
    <t xml:space="preserve">Espulsione alternativa (art. 16 c. 5) se residuo ≤ 2 anni</t>
  </si>
  <si>
    <t xml:space="preserve">Antigone, 20,4% di 142.773</t>
  </si>
  <si>
    <t xml:space="preserve">Flussi 2025 (collegati al Funnel)</t>
  </si>
  <si>
    <t xml:space="preserve">Rilevamento di polizia</t>
  </si>
  <si>
    <t xml:space="preserve">Fascicolo e decisione entro 24 ore</t>
  </si>
  <si>
    <t xml:space="preserve">Eurostat</t>
  </si>
  <si>
    <t xml:space="preserve">Espulsione prefettizia</t>
  </si>
  <si>
    <t xml:space="preserve">Esecuzione: 22,4% oggi → 60% nel 2032</t>
  </si>
  <si>
    <t xml:space="preserve">Rimpatri eseguiti</t>
  </si>
  <si>
    <t xml:space="preserve">dopo CPR</t>
  </si>
  <si>
    <t xml:space="preserve">Trattenimento (art. 14)</t>
  </si>
  <si>
    <t xml:space="preserve">148 giorni medi: identificare prima, trattenere meno</t>
  </si>
  <si>
    <t xml:space="preserve">ActionAid/UniBa</t>
  </si>
  <si>
    <t xml:space="preserve">senza CPR (residuo)</t>
  </si>
  <si>
    <t xml:space="preserve">Accompagnamento diretto</t>
  </si>
  <si>
    <t xml:space="preserve">Rimpatri volontari assistiti</t>
  </si>
  <si>
    <t xml:space="preserve">Art. 14-ter</t>
  </si>
  <si>
    <t xml:space="preserve">Da ≈ 300 a 6.400 l’anno; incentivo 630-2.450 € (UE dal 1.6.2026)</t>
  </si>
  <si>
    <t xml:space="preserve">Nessuno: fondi e organizzazione</t>
  </si>
  <si>
    <t xml:space="preserve">F5</t>
  </si>
  <si>
    <t xml:space="preserve">Dinieghi di asilo in prima istanza (entrano in Fase 1)</t>
  </si>
  <si>
    <t xml:space="preserve">Diniego → ricorso → ordine</t>
  </si>
  <si>
    <t xml:space="preserve">Atto unico diniego + ordine (Patto UE 2026)</t>
  </si>
  <si>
    <t xml:space="preserve">ISTAT 2024: 64,1% di 78.565</t>
  </si>
  <si>
    <t xml:space="preserve">O</t>
  </si>
  <si>
    <t xml:space="preserve">Riammissione 2025: Tunisia 600 (tetto 80/settimana) · Egitto 454 (18 charter) · Albania e Georgia funzionano · Marocco, Algeria, Pakistan, Bangladesh bloccati</t>
  </si>
  <si>
    <t xml:space="preserve">Fonti: ISMU 31° Rapporto · Eurostat 2025 · ActionAid/UniBa “Espulsioni” 2026 · Ministero della Giustizia 30.6.2025 · D.Lgs. 286/1998 artt. 13-16, 19; c.p. 235</t>
  </si>
  <si>
    <t xml:space="preserve">Verde = valore collegato al tab Funnel Italia. n.d. = nessuna fonte pubblica.</t>
  </si>
  <si>
    <t xml:space="preserve">Fase 2 · Regolari extra-UE</t>
  </si>
  <si>
    <t xml:space="preserve">Entrano nel perimetro quando perdono il titolo. Leve: legge ordinaria e accordi di riammissione.</t>
  </si>
  <si>
    <t xml:space="preserve">Fase 2: extra-UE con titolo di soggiorno (esclusa protezione temporanea)</t>
  </si>
  <si>
    <t xml:space="preserve">Status permanente (dir. 2003/109; TU art. 9)</t>
  </si>
  <si>
    <t xml:space="preserve">Espulsione solo per gravi motivi di ordine pubblico (art. 9 c. 10); revoca per assenza 12 mesi UE / 6 anni Italia o frode</t>
  </si>
  <si>
    <t xml:space="preserve">Senza reati: modifica dir. 2003/109 (unanimità UE). Oggi solo condizionale</t>
  </si>
  <si>
    <t xml:space="preserve">ISTAT: 52,8% di 3.810.741</t>
  </si>
  <si>
    <t xml:space="preserve">ISTAT: solo quote (Moldova 83%, Serbia 74%, Ecuador 73%)</t>
  </si>
  <si>
    <t xml:space="preserve">di cui con condanna per reati gravi (artt. 380-381 c.p.p.)</t>
  </si>
  <si>
    <t xml:space="preserve">Revocabile ed espellibile (art. 9 c. 4 e c. 10)</t>
  </si>
  <si>
    <t xml:space="preserve">Revoca + espulsione</t>
  </si>
  <si>
    <t xml:space="preserve">Nessuno; serve il dato DAP</t>
  </si>
  <si>
    <t xml:space="preserve">Non pubblicato</t>
  </si>
  <si>
    <t xml:space="preserve">A3</t>
  </si>
  <si>
    <t xml:space="preserve">di cui assenti dall’UE &gt; 12 mesi</t>
  </si>
  <si>
    <t xml:space="preserve">Status decaduto (art. 9 c. 7)</t>
  </si>
  <si>
    <t xml:space="preserve">Revoca d’ufficio con controllo EES/SIS</t>
  </si>
  <si>
    <t xml:space="preserve">Nessuno; serve il controllo</t>
  </si>
  <si>
    <t xml:space="preserve">Non verificato</t>
  </si>
  <si>
    <t xml:space="preserve">Permessi a termine: lavoro, famiglia, studio, altro</t>
  </si>
  <si>
    <t xml:space="preserve">Permesso 1-3 anni rinnovabile se restano i requisiti (TU art. 5 c. 5)</t>
  </si>
  <si>
    <t xml:space="preserve">Mancato rinnovo per perdita reddito/lavoro (dopo 12 mesi attesa occupazione) o reati ostativi → ordine</t>
  </si>
  <si>
    <t xml:space="preserve">Legge ordinaria: attesa occupazione 12→6 mesi (art. 22 c. 11), soglie di reddito, reati ostativi (art. 4 c. 3). Limite art. 8 CEDU</t>
  </si>
  <si>
    <t xml:space="preserve">Calcolo da ISTAT</t>
  </si>
  <si>
    <t xml:space="preserve">di cui per motivo (lavoro / famiglia / studio)</t>
  </si>
  <si>
    <t xml:space="preserve">ISTAT non pubblica lo stock per motivo</t>
  </si>
  <si>
    <t xml:space="preserve">Asilo e protezione (esclusa temporanea)</t>
  </si>
  <si>
    <t xml:space="preserve">richiesta asilo in attesa</t>
  </si>
  <si>
    <t xml:space="preserve">Soggiorno legittimo fino alla decisione</t>
  </si>
  <si>
    <t xml:space="preserve">Procedura di frontiera 12 settimane per paesi &lt; 20% (Patto UE); diniego + ordine in un atto</t>
  </si>
  <si>
    <t xml:space="preserve">Nessuno: in vigore dal 12.6.2026</t>
  </si>
  <si>
    <t xml:space="preserve">Non-refoulement (Ginevra art. 33; TU art. 19)</t>
  </si>
  <si>
    <t xml:space="preserve">Solo revoca/cessazione (D.Lgs. 251/07 artt. 9, 13)</t>
  </si>
  <si>
    <t xml:space="preserve">Impossibile: Ginevra e Cost. art. 10</t>
  </si>
  <si>
    <t xml:space="preserve">C3</t>
  </si>
  <si>
    <t xml:space="preserve">Permesso 5 anni</t>
  </si>
  <si>
    <t xml:space="preserve">Cessazione se cambia la situazione nel paese (art. 15)</t>
  </si>
  <si>
    <t xml:space="preserve">Riesame sistematico alla scadenza: prassi</t>
  </si>
  <si>
    <t xml:space="preserve">C4</t>
  </si>
  <si>
    <t xml:space="preserve">Permesso 2 anni (TU art. 19)</t>
  </si>
  <si>
    <t xml:space="preserve">Non rinnovo se cessano i presupposti</t>
  </si>
  <si>
    <t xml:space="preserve">Legge ordinaria: restringere art. 19 c. 1.1; limite art. 8 CEDU</t>
  </si>
  <si>
    <t xml:space="preserve">Trasversale: stranieri nati in Italia senza cittadinanza (dentro B e C)</t>
  </si>
  <si>
    <t xml:space="preserve">adulti 15-74</t>
  </si>
  <si>
    <t xml:space="preserve">Permesso ordinario</t>
  </si>
  <si>
    <t xml:space="preserve">Non rinnovo se perde i requisiti; espulsione per reati</t>
  </si>
  <si>
    <t xml:space="preserve">Nessuno; i giudici applicano art. 8 CEDU a chi è nato in Italia</t>
  </si>
  <si>
    <t xml:space="preserve">Eurostat LFS 2025</t>
  </si>
  <si>
    <t xml:space="preserve">minori (residuo)</t>
  </si>
  <si>
    <t xml:space="preserve">Non espellibili (TU art. 19 c. 2); a 18 anni elezione di cittadinanza</t>
  </si>
  <si>
    <t xml:space="preserve">Nulla fino a 18 anni</t>
  </si>
  <si>
    <t xml:space="preserve">Abrogare art. 4 c. 2 L. 91/92: resterebbero in Fase 2</t>
  </si>
  <si>
    <t xml:space="preserve">Flussi 2024</t>
  </si>
  <si>
    <t xml:space="preserve">F</t>
  </si>
  <si>
    <t xml:space="preserve">Nuovi permessi rilasciati</t>
  </si>
  <si>
    <t xml:space="preserve">ISTAT 2024 (290.119)</t>
  </si>
  <si>
    <t xml:space="preserve">famiglia</t>
  </si>
  <si>
    <t xml:space="preserve">Ricongiungimento (TU art. 29)</t>
  </si>
  <si>
    <t xml:space="preserve">Requisiti di reddito e alloggio</t>
  </si>
  <si>
    <t xml:space="preserve">Legge ordinaria entro dir. 2003/86</t>
  </si>
  <si>
    <t xml:space="preserve">ISTAT 36,1%</t>
  </si>
  <si>
    <t xml:space="preserve">ISTAT 35,9%</t>
  </si>
  <si>
    <t xml:space="preserve">lavoro</t>
  </si>
  <si>
    <t xml:space="preserve">Decreto flussi; stagionale 16.739</t>
  </si>
  <si>
    <t xml:space="preserve">Verifica rientro stagionali (EES)</t>
  </si>
  <si>
    <t xml:space="preserve">ISTAT 13,9%</t>
  </si>
  <si>
    <t xml:space="preserve">studio</t>
  </si>
  <si>
    <t xml:space="preserve">Fino a fine corso + 12 mesi</t>
  </si>
  <si>
    <t xml:space="preserve">Rientro a fine corso</t>
  </si>
  <si>
    <t xml:space="preserve">Legge ordinaria</t>
  </si>
  <si>
    <t xml:space="preserve">ISTAT 6,9%</t>
  </si>
  <si>
    <t xml:space="preserve">altri motivi (residuo)</t>
  </si>
  <si>
    <t xml:space="preserve">G</t>
  </si>
  <si>
    <t xml:space="preserve">Prime domande di asilo</t>
  </si>
  <si>
    <t xml:space="preserve">Eurostat 2024</t>
  </si>
  <si>
    <t xml:space="preserve">G1</t>
  </si>
  <si>
    <t xml:space="preserve">Prime istanze esaminate: respinte 50.380 (64%) → Fase 1 · accolte 28.185</t>
  </si>
  <si>
    <t xml:space="preserve">ISTAT 2024</t>
  </si>
  <si>
    <t xml:space="preserve">Prime origini 2024 (nuovi permessi): Bangladesh 28.045 · Marocco 25.776 · Albania 24.430 · Egitto 20.217 · Pakistan 17.217 · India 16.907 · Tunisia 15.016</t>
  </si>
  <si>
    <t xml:space="preserve">ISTAT</t>
  </si>
  <si>
    <t xml:space="preserve">Fonti: ISTAT Cittadini non comunitari 2024 · Eurostat LFS 2025, migr_asypenctzm · D.Lgs. 286/1998 artt. 4, 5, 9, 19, 22, 29; D.Lgs. 251/2007; Reg. (UE) 2024/1348</t>
  </si>
  <si>
    <t xml:space="preserve">Fase 3 · Cittadini italiani di origine straniera</t>
  </si>
  <si>
    <t xml:space="preserve">Oggi non esiste alcuno strumento. Serve una riforma costituzionale e l’uscita da vincoli CEDU.</t>
  </si>
  <si>
    <t xml:space="preserve">Fase 3: cittadini di origine straniera</t>
  </si>
  <si>
    <t xml:space="preserve">Cittadini a tutti gli effetti (Cost. art. 22; CEDU Prot. 4 art. 3)</t>
  </si>
  <si>
    <t xml:space="preserve">Nulla. Solo revoca per terrorismo (L. 91/92 art. 10-bis) e annullamento per frode</t>
  </si>
  <si>
    <t xml:space="preserve">Riforma costituzionale artt. 3 e 22 (doppia lettura + referendum) e denuncia del Prot. 4 CEDU; nessun precedente in UE</t>
  </si>
  <si>
    <t xml:space="preserve">Seconda generazione, cittadini 15-74</t>
  </si>
  <si>
    <t xml:space="preserve">Cittadini dalla nascita o per elezione a 18 anni</t>
  </si>
  <si>
    <t xml:space="preserve">Nulla</t>
  </si>
  <si>
    <t xml:space="preserve">Come sopra; per i futuri: abrogare l’elezione a 18 anni (art. 4 c. 2) e la trasmissione ai minori (art. 14) → restano in Fase 2</t>
  </si>
  <si>
    <t xml:space="preserve">di cui per origine del genitore</t>
  </si>
  <si>
    <t xml:space="preserve">Eurostat non lo pubblica</t>
  </si>
  <si>
    <t xml:space="preserve">Italiani per acquisizione</t>
  </si>
  <si>
    <t xml:space="preserve">Cittadini a tutti gli effetti</t>
  </si>
  <si>
    <t xml:space="preserve">Revoca solo per terrorismo entro 3 anni (art. 10-bis)</t>
  </si>
  <si>
    <t xml:space="preserve">Revoca estesa ad altri reati: viola Cost. art. 3 (parità) → serve riforma costituzionale; rischio apolidia (Conv. 1961)</t>
  </si>
  <si>
    <t xml:space="preserve">di origine extra-UE</t>
  </si>
  <si>
    <t xml:space="preserve">ISTAT: 85,6%</t>
  </si>
  <si>
    <t xml:space="preserve">di origine UE (residuo)</t>
  </si>
  <si>
    <t xml:space="preserve">Trasversale: condannati con cittadinanza italiana di origine straniera</t>
  </si>
  <si>
    <t xml:space="preserve">Non espellibili</t>
  </si>
  <si>
    <t xml:space="preserve">Revoca solo per terrorismo</t>
  </si>
  <si>
    <t xml:space="preserve">Riforma costituzionale</t>
  </si>
  <si>
    <t xml:space="preserve">Flusso 2024: acquisizioni di cittadinanza (alimentano la Fase 3)</t>
  </si>
  <si>
    <t xml:space="preserve">Acquisizioni nell’anno</t>
  </si>
  <si>
    <t xml:space="preserve">ISTAT 2024 (217.448)</t>
  </si>
  <si>
    <t xml:space="preserve">per residenza (10 anni)</t>
  </si>
  <si>
    <t xml:space="preserve">Concessione discrezionale</t>
  </si>
  <si>
    <t xml:space="preserve">Irrigidire requisiti (reddito, lingua B1, reati)</t>
  </si>
  <si>
    <t xml:space="preserve">Legge ordinaria: art. 9</t>
  </si>
  <si>
    <t xml:space="preserve">ISTAT, ≈</t>
  </si>
  <si>
    <t xml:space="preserve">minori per trasmissione dai genitori</t>
  </si>
  <si>
    <t xml:space="preserve">Automatico se conviventi</t>
  </si>
  <si>
    <t xml:space="preserve">Legge ordinaria: art. 14</t>
  </si>
  <si>
    <t xml:space="preserve">iure sanguinis (avo italiano)</t>
  </si>
  <si>
    <t xml:space="preserve">Diritto</t>
  </si>
  <si>
    <t xml:space="preserve">Già ristretto (D.L. 36/2025)</t>
  </si>
  <si>
    <t xml:space="preserve">per matrimonio</t>
  </si>
  <si>
    <t xml:space="preserve">Concessione</t>
  </si>
  <si>
    <t xml:space="preserve">Allungare i termini</t>
  </si>
  <si>
    <t xml:space="preserve">Legge ordinaria: art. 5</t>
  </si>
  <si>
    <t xml:space="preserve">per elezione a 18 anni</t>
  </si>
  <si>
    <t xml:space="preserve">Legge ordinaria: art. 4 c. 2</t>
  </si>
  <si>
    <t xml:space="preserve">F6</t>
  </si>
  <si>
    <t xml:space="preserve">altre modalità (residuo)</t>
  </si>
  <si>
    <t xml:space="preserve">Prime origini 2024: Albania ≈ 32.000 · Marocco ≈ 28.000 · Argentina 13.559 · India 12.258 · Brasile 11.058</t>
  </si>
  <si>
    <t xml:space="preserve">Fonti: Eurostat LFS 2025 · ISTAT Cittadini non comunitari 2024 · Cost. artt. 3, 10, 22; L. 91/1992; CEDU Prot. 4</t>
  </si>
  <si>
    <t xml:space="preserve">Fase 4 · Cittadini UE (Romania) e protezione temporanea</t>
  </si>
  <si>
    <t xml:space="preserve">Dipende dal diritto dell’Unione, non dalla legge italiana.</t>
  </si>
  <si>
    <t xml:space="preserve">Libera circolazione (TFUE art. 21; dir. 2004/38)</t>
  </si>
  <si>
    <t xml:space="preserve">Allontanamento solo individuale: ordine pubblico (art. 20 D.Lgs. 30/2007) o senza risorse dopo 3 mesi (art. 21)</t>
  </si>
  <si>
    <t xml:space="preserve">Impossibile senza modificare i trattati / la dir. 2004/38 (unanimità); vietate le espulsioni collettive (CEDU Prot. 4 art. 4)</t>
  </si>
  <si>
    <t xml:space="preserve">di cui con lavoro o risorse</t>
  </si>
  <si>
    <t xml:space="preserve">Diritto di soggiorno</t>
  </si>
  <si>
    <t xml:space="preserve">Trattati UE</t>
  </si>
  <si>
    <t xml:space="preserve">di cui senza risorse dopo 3 mesi</t>
  </si>
  <si>
    <t xml:space="preserve">Allontanabili (art. 21)</t>
  </si>
  <si>
    <t xml:space="preserve">Allontanamento, senza divieto di reingresso</t>
  </si>
  <si>
    <t xml:space="preserve">Non misurato</t>
  </si>
  <si>
    <t xml:space="preserve">di cui detenuti (≈ 11% dei detenuti stranieri)</t>
  </si>
  <si>
    <t xml:space="preserve">Allontanabili (art. 20)</t>
  </si>
  <si>
    <t xml:space="preserve">Allontanamento + divieto reingresso 5-10 anni; esecuzione pena in Romania (DQ 2008/909)</t>
  </si>
  <si>
    <t xml:space="preserve">Min. Giustizia: UE 2.819 detenuti in totale</t>
  </si>
  <si>
    <t xml:space="preserve">Protezione temporanea (Ucraina)</t>
  </si>
  <si>
    <t xml:space="preserve">Dir. 2001/55; scade 4.3.2028</t>
  </si>
  <si>
    <t xml:space="preserve">Rientro volontario assistito; dal 2028 conversione in permesso ordinario (→ Fase 2) o rimpatrio</t>
  </si>
  <si>
    <t xml:space="preserve">Nessuno: decide il Consiglio UE</t>
  </si>
  <si>
    <t xml:space="preserve">ISTAT · 31.12.2024 (Eurostat 2026: 60.485)</t>
  </si>
  <si>
    <t xml:space="preserve">di cui con lavoro (convertibili in Fase 2)</t>
  </si>
  <si>
    <t xml:space="preserve">di cui senza lavoro</t>
  </si>
  <si>
    <t xml:space="preserve">Rientro volontario con incentivo</t>
  </si>
  <si>
    <t xml:space="preserve">Fonti: Eurostat migr_pop1ctz · ISTAT · D.Lgs. 30/2007 artt. 20-21; Direttiva 2001/55; Decisione (UE) 2026/1912; DQ 2008/909/GAI</t>
  </si>
  <si>
    <t xml:space="preserve">FUORI · Nessuna remigrazione</t>
  </si>
  <si>
    <t xml:space="preserve">Riportato per completezza: queste righe chiudono la somma del Funnel.</t>
  </si>
  <si>
    <t xml:space="preserve">Fuori perimetro</t>
  </si>
  <si>
    <t xml:space="preserve">Italiani nati in Italia da genitori nati in Italia</t>
  </si>
  <si>
    <t xml:space="preserve">Cittadini</t>
  </si>
  <si>
    <t xml:space="preserve">Italiani dalla nascita nati all’estero (figli di emigrati, iure sanguinis)</t>
  </si>
  <si>
    <t xml:space="preserve">Cittadini di altri Stati UE (esclusa Romania)</t>
  </si>
  <si>
    <t xml:space="preserve">Libera circolazione</t>
  </si>
  <si>
    <t xml:space="preserve">Allontanamento individuale per ordine pubblico (art. 20): vedi Fase 1 per i detenuti</t>
  </si>
  <si>
    <t xml:space="preserve">Fonti: Funnel Italia</t>
  </si>
  <si>
    <t xml:space="preserve">Progress tracker 2027-2032 · tutte le categorie</t>
  </si>
  <si>
    <t xml:space="preserve">Ipotesi di base: entro pochi anni le norme UE vengono cambiate in senso favorevole all’esecuzione del GRP. Blu = obiettivi modificabili; nero = formule; verde = collegato al Funnel; testo = tappa.</t>
  </si>
  <si>
    <t xml:space="preserve">Indicatore</t>
  </si>
  <si>
    <t xml:space="preserve">Base 2025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</si>
  <si>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</si>
  <si>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</si>
  <si>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</si>
  <si>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</si>
  <si>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</si>
  <si>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</si>
  <si>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Cambio di legge richiesto</t>
  </si>
  <si>
    <t xml:space="preserve">Fase 1 · Irregolari e condannati (legge attuale)</t>
  </si>
  <si>
    <t xml:space="preserve">Tasso di esecuzione degli ordini</t>
  </si>
  <si>
    <t xml:space="preserve">Ordini di lasciare il territorio (ogni irregolare trovato riceve un ordine)</t>
  </si>
  <si>
    <t xml:space="preserve">Quota volontari sui rimpatri</t>
  </si>
  <si>
    <t xml:space="preserve">di cui volontari (RVA)</t>
  </si>
  <si>
    <t xml:space="preserve">Nessuno: fondi e convenzione OIM</t>
  </si>
  <si>
    <t xml:space="preserve">di cui forzati</t>
  </si>
  <si>
    <t xml:space="preserve">Quota forzati che passa dal CPR</t>
  </si>
  <si>
    <t xml:space="preserve">Giorni medi in CPR per rimpatrio</t>
  </si>
  <si>
    <t xml:space="preserve">Nessuno: identificazione prima del trattenimento</t>
  </si>
  <si>
    <t xml:space="preserve">Posti CPR necessari (occupazione 85%)</t>
  </si>
  <si>
    <t xml:space="preserve">Paesi con riammissione operativa (oggi: Albania, Georgia, Tunisia, Egitto)</t>
  </si>
  <si>
    <t xml:space="preserve">+ Marocco, Bangladesh</t>
  </si>
  <si>
    <t xml:space="preserve">+ Pakistan, Nigeria</t>
  </si>
  <si>
    <t xml:space="preserve">+ Algeria</t>
  </si>
  <si>
    <t xml:space="preserve">Nessuno: leva visti (Codice visti art. 25a), commercio, aiuti</t>
  </si>
  <si>
    <t xml:space="preserve">Stock di irregolari a fine anno (stima: 339k + 50k nuovi l’anno - rimpatri)</t>
  </si>
  <si>
    <t xml:space="preserve">Tempo rilevamento → decisione (giorni)</t>
  </si>
  <si>
    <t xml:space="preserve">Nessuno: fascicolo digitale unico</t>
  </si>
  <si>
    <t xml:space="preserve">Detenuti extra-UE identificati con lasciapassare richiesto entro 6 mesi</t>
  </si>
  <si>
    <t xml:space="preserve">Nessuno: protocollo DAP-Questure</t>
  </si>
  <si>
    <t xml:space="preserve">Espulsioni ex artt. 15-16 TU eseguite al fine pena o in alternativa alla pena</t>
  </si>
  <si>
    <t xml:space="preserve">Nessuno (ultimo dato pubblico: 2018)</t>
  </si>
  <si>
    <t xml:space="preserve">Detenuti UE trasferiti a scontare la pena in patria (DQ 2008/909)</t>
  </si>
  <si>
    <t xml:space="preserve">Nessuno: accordo operativo con Bucarest</t>
  </si>
  <si>
    <t xml:space="preserve">Fase 2 · Regolari extra-UE (legge ordinaria e accordi)</t>
  </si>
  <si>
    <t xml:space="preserve">Richiedenti asilo</t>
  </si>
  <si>
    <t xml:space="preserve">Quota domande da paesi &lt; 20% in procedura di frontiera</t>
  </si>
  <si>
    <t xml:space="preserve">Nessuno: Patto UE in vigore dal 12.6.2026</t>
  </si>
  <si>
    <t xml:space="preserve">Giorni tra diniego definitivo e ordine di rimpatrio</t>
  </si>
  <si>
    <t xml:space="preserve">Nessuno: atto unico (reg. rimpatri)</t>
  </si>
  <si>
    <t xml:space="preserve">Quota dinieghi definitivi che producono un rimpatrio eseguito</t>
  </si>
  <si>
    <t xml:space="preserve">Condannati per reati artt. 380-381 c.p.p. revocati ed espulsi</t>
  </si>
  <si>
    <t xml:space="preserve">Nessuno (art. 9 c. 4 e 10 TU già in vigore)</t>
  </si>
  <si>
    <t xml:space="preserve">Controllo annuale assenze &gt; 12 mesi via EES/SIS</t>
  </si>
  <si>
    <t xml:space="preserve">no</t>
  </si>
  <si>
    <t xml:space="preserve">100%</t>
  </si>
  <si>
    <t xml:space="preserve">Nessuno: procedura</t>
  </si>
  <si>
    <t xml:space="preserve">Revoche di status l’anno (condanne, assenze, frode)</t>
  </si>
  <si>
    <t xml:space="preserve">Mancati rinnovi tracciati per motivo e nazionalità</t>
  </si>
  <si>
    <t xml:space="preserve">Nessuno: statistica Viminale</t>
  </si>
  <si>
    <t xml:space="preserve">Attesa occupazione dopo perdita del lavoro (mesi)</t>
  </si>
  <si>
    <t xml:space="preserve">Legge ordinaria: TU art. 22 c. 11 (2027)</t>
  </si>
  <si>
    <t xml:space="preserve">Stagionali verificati in uscita (EES)</t>
  </si>
  <si>
    <t xml:space="preserve">Quota permessi scaduti non rinnovati che diventano ordine</t>
  </si>
  <si>
    <t xml:space="preserve">Protezione sussidiaria e speciale</t>
  </si>
  <si>
    <t xml:space="preserve">Riesame sistematico alla scadenza (cessazione art. 15; non rinnovo art. 19)</t>
  </si>
  <si>
    <t xml:space="preserve">Nessuno; restringere art. 19 c. 1.1: legge ordinaria</t>
  </si>
  <si>
    <t xml:space="preserve">Rifugiati</t>
  </si>
  <si>
    <t xml:space="preserve">Revoca dello status per reati gravi e cessazione per paesi tornati sicuri</t>
  </si>
  <si>
    <t xml:space="preserve">Revisione a livello UE della direttiva qualifiche (2003/109 e 2011/95)</t>
  </si>
  <si>
    <t xml:space="preserve">Stranieri nati in Italia</t>
  </si>
  <si>
    <t xml:space="preserve">Elezione automatica di cittadinanza a 18 anni</t>
  </si>
  <si>
    <t xml:space="preserve">sì</t>
  </si>
  <si>
    <t xml:space="preserve">abrogata</t>
  </si>
  <si>
    <t xml:space="preserve">Legge ordinaria: art. 4 c. 2 L. 91/92</t>
  </si>
  <si>
    <t xml:space="preserve">Fase 3 · Cittadini di origine straniera (riforma costituzionale)</t>
  </si>
  <si>
    <t xml:space="preserve">Acquisizioni di cittadinanza l’anno</t>
  </si>
  <si>
    <t xml:space="preserve">Legge ordinaria: L. 91/92 artt. 5, 9, 14 (requisiti, anni, lingua, reati)</t>
  </si>
  <si>
    <t xml:space="preserve">Revoca per reati gravi entro 10 anni dall’acquisizione</t>
  </si>
  <si>
    <t xml:space="preserve">legge approvata</t>
  </si>
  <si>
    <t xml:space="preserve">in vigore</t>
  </si>
  <si>
    <t xml:space="preserve">Legge ordinaria + probabile vaglio Corte cost. (art. 3)</t>
  </si>
  <si>
    <t xml:space="preserve">Revoche di cittadinanza l’anno (oggi art. 10-bis: solo terrorismo)</t>
  </si>
  <si>
    <t xml:space="preserve">Dipende dalla riga sopra</t>
  </si>
  <si>
    <t xml:space="preserve">Riforma costituzionale artt. 3 e 22 (cittadini di origine straniera allontanabili)</t>
  </si>
  <si>
    <t xml:space="preserve">1ª lettura</t>
  </si>
  <si>
    <t xml:space="preserve">2ª lettura</t>
  </si>
  <si>
    <t xml:space="preserve">referendum</t>
  </si>
  <si>
    <t xml:space="preserve">Riforma costituzionale (Cost. art. 138); revisione Prot. 4 CEDU con gli alleati</t>
  </si>
  <si>
    <t xml:space="preserve">Rimpatri di cittadini di origine straniera condannati per reati gravi</t>
  </si>
  <si>
    <t xml:space="preserve">Dopo la riforma: solo condannati, poi estensione</t>
  </si>
  <si>
    <t xml:space="preserve">Rientri volontari incentivati (programma di remigrazione volontaria)</t>
  </si>
  <si>
    <t xml:space="preserve">Nessuno: programma con incentivo e rinuncia alla cittadinanza (art. 14 L. 91/92)</t>
  </si>
  <si>
    <t xml:space="preserve">Fase 4 · Romania e protezione temporanea (diritto UE)</t>
  </si>
  <si>
    <t xml:space="preserve">Allontanamenti ex art. 20-21 D.Lgs. 30/2007 eseguiti</t>
  </si>
  <si>
    <t xml:space="preserve">Nessuno: strumenti esistenti</t>
  </si>
  <si>
    <t xml:space="preserve">Modifica dir. 2004/38: allontanamento per assenza di lavoro oltre 12 mesi</t>
  </si>
  <si>
    <t xml:space="preserve">proposta</t>
  </si>
  <si>
    <t xml:space="preserve">approvata</t>
  </si>
  <si>
    <t xml:space="preserve">Consiglio UE con gli alleati (FR, DE, AT)</t>
  </si>
  <si>
    <t xml:space="preserve">Protezione temporanea</t>
  </si>
  <si>
    <t xml:space="preserve">Beneficiari a fine anno</t>
  </si>
  <si>
    <t xml:space="preserve">Nessuno: scadenza UE 4.3.2028</t>
  </si>
  <si>
    <t xml:space="preserve">convertiti in permesso ordinario (→ Fase 2)</t>
  </si>
  <si>
    <t xml:space="preserve">Nessuno: decreto di transizione</t>
  </si>
  <si>
    <t xml:space="preserve">rientri volontari assistiti in Ucraina</t>
  </si>
  <si>
    <t xml:space="preserve">Nessuno: programma UE-Ucraina</t>
  </si>
  <si>
    <t xml:space="preserve">Cittadini e altri UE</t>
  </si>
  <si>
    <t xml:space="preserve">Nessun indicatore</t>
  </si>
  <si>
    <t xml:space="preserve">Ipotesi di lavoro: i valori blu sono proposte da discutere, non dati. Le milestone in testo segnano i passaggi di legge.</t>
  </si>
  <si>
    <t xml:space="preserve">Esecuzione · modalità e fattibilità</t>
  </si>
  <si>
    <t xml:space="preserve">Come si effettua la remigrazione, caso per caso. Fattibilità: Alta / Media / Bassa / Nulla, con il motivo.</t>
  </si>
  <si>
    <t xml:space="preserve">1 · Le sette modalità di remigrazione</t>
  </si>
  <si>
    <t xml:space="preserve">Modalità</t>
  </si>
  <si>
    <t xml:space="preserve">A chi si applica</t>
  </si>
  <si>
    <t xml:space="preserve">Passaggi operativi</t>
  </si>
  <si>
    <t xml:space="preserve">Attori</t>
  </si>
  <si>
    <t xml:space="preserve">Costo unitario</t>
  </si>
  <si>
    <t xml:space="preserve">Tempo medio</t>
  </si>
  <si>
    <t xml:space="preserve">Capacità oggi → 2032</t>
  </si>
  <si>
    <t xml:space="preserve">Fattibilità</t>
  </si>
  <si>
    <t xml:space="preserve">1. Rimpatrio volontario assistito (RVA)</t>
  </si>
  <si>
    <t xml:space="preserve">Fase 1 con ordine; Fase 2 dopo diniego o mancato rinnovo; Fase 4 Ucraina</t>
  </si>
  <si>
    <t xml:space="preserve">Colloquio in questura o CAS → adesione entro 7 gg → documento di viaggio → volo di linea → incentivo erogato nel paese d’origine in 2 tranche</t>
  </si>
  <si>
    <t xml:space="preserve">Questura, OIM, Frontex (biglietti), paese d’origine</t>
  </si>
  <si>
    <t xml:space="preserve">560 € trasporto + 630-2.450 € incentivo UE + ≈ 400 € gestione</t>
  </si>
  <si>
    <t xml:space="preserve">30-60 giorni</t>
  </si>
  <si>
    <t xml:space="preserve">≈ 300 l’anno → 6.400</t>
  </si>
  <si>
    <t xml:space="preserve">Alta</t>
  </si>
  <si>
    <t xml:space="preserve">2. Accompagnamento su volo di linea</t>
  </si>
  <si>
    <t xml:space="preserve">Fase 1 identificati con documento; condannati a fine pena</t>
  </si>
  <si>
    <t xml:space="preserve">Ordine con accompagnamento → 2 agenti di scorta → consegna alle autorità del paese</t>
  </si>
  <si>
    <t xml:space="preserve">Questura, Polizia di frontiera, Frontex</t>
  </si>
  <si>
    <t xml:space="preserve">≈ 3.400 €</t>
  </si>
  <si>
    <t xml:space="preserve">7-30 giorni</t>
  </si>
  <si>
    <t xml:space="preserve">≈ 3.000 l’anno → 4.000</t>
  </si>
  <si>
    <t xml:space="preserve">3. Charter nazionale</t>
  </si>
  <si>
    <t xml:space="preserve">Fase 1 verso Tunisia, Egitto, Albania, Georgia, Nigeria</t>
  </si>
  <si>
    <t xml:space="preserve">Lista passeggeri concordata con il consolato → convalida → volo da Palermo, Roma, Milano</t>
  </si>
  <si>
    <t xml:space="preserve">Viminale, consolati, vettore</t>
  </si>
  <si>
    <t xml:space="preserve">≈ 2.600 € a persona (media Frontex)</t>
  </si>
  <si>
    <t xml:space="preserve">Settimanale</t>
  </si>
  <si>
    <t xml:space="preserve">Tunisia 28 charter (2025), tetto 80/settimana → 100 charter l’anno</t>
  </si>
  <si>
    <t xml:space="preserve">Media</t>
  </si>
  <si>
    <t xml:space="preserve">4. Charter Frontex congiunto</t>
  </si>
  <si>
    <t xml:space="preserve">Fase 1 verso paesi con pochi casi per Stato</t>
  </si>
  <si>
    <t xml:space="preserve">Adesione a volo organizzato da altro Stato → scorta Frontex</t>
  </si>
  <si>
    <t xml:space="preserve">Frontex, Questure</t>
  </si>
  <si>
    <t xml:space="preserve">≈ 2.600 €, cofinanziato UE</t>
  </si>
  <si>
    <t xml:space="preserve">Mensile</t>
  </si>
  <si>
    <t xml:space="preserve">Centinaia l’anno → 1.500</t>
  </si>
  <si>
    <t xml:space="preserve">5. Trattenimento in CPR o Gjadër → rimpatrio</t>
  </si>
  <si>
    <t xml:space="preserve">Fase 1 senza documenti o a rischio fuga</t>
  </si>
  <si>
    <t xml:space="preserve">Convalida giudice di pace entro 48 h → identificazione consolare → lasciapassare → volo</t>
  </si>
  <si>
    <t xml:space="preserve">Questura, giudice di pace, consolati, ente gestore</t>
  </si>
  <si>
    <t xml:space="preserve">110 €/giorno × giorni + trasporto (oggi 16.560 € a 148 gg)</t>
  </si>
  <si>
    <t xml:space="preserve">148 giorni → 60</t>
  </si>
  <si>
    <t xml:space="preserve">1.732 l’anno → ≈ 2.100 (1 forzato su 3)</t>
  </si>
  <si>
    <t xml:space="preserve">6. Trasferimento dell’esecuzione della pena</t>
  </si>
  <si>
    <t xml:space="preserve">Condannati UE (Romania) ed extra-UE con accordo (Albania, Marocco, Tunisia)</t>
  </si>
  <si>
    <t xml:space="preserve">Istanza del PM o del detenuto → consenso dello Stato → traduzione</t>
  </si>
  <si>
    <t xml:space="preserve">Ministero Giustizia, DAP, Stato ricevente</t>
  </si>
  <si>
    <t xml:space="preserve">Risparmio: ≈ 140 €/giorno di carcere (ipotesi)</t>
  </si>
  <si>
    <t xml:space="preserve">6-12 mesi</t>
  </si>
  <si>
    <t xml:space="preserve">Decine l’anno → 900 (UE) + 300 (extra-UE)</t>
  </si>
  <si>
    <t xml:space="preserve">7. Allontanamento di cittadino UE</t>
  </si>
  <si>
    <t xml:space="preserve">Fase 4 Romania e altri UE, solo condannati o senza risorse</t>
  </si>
  <si>
    <t xml:space="preserve">Decreto del prefetto → ricorso TAR → esecuzione con accompagnamento → divieto reingresso SIS</t>
  </si>
  <si>
    <t xml:space="preserve">Prefettura, TAR, Polizia</t>
  </si>
  <si>
    <t xml:space="preserve">≈ 1.000 € (volo breve, nessun documento da ottenere)</t>
  </si>
  <si>
    <t xml:space="preserve">30-90 giorni</t>
  </si>
  <si>
    <t xml:space="preserve">n.d. → 1.000</t>
  </si>
  <si>
    <t xml:space="preserve">2 · Catena operativa Fase 1: dal rilevamento al rimpatrio</t>
  </si>
  <si>
    <t xml:space="preserve">Cosa succede oggi</t>
  </si>
  <si>
    <t xml:space="preserve">Cosa cambia con il GRP</t>
  </si>
  <si>
    <t xml:space="preserve">Attore</t>
  </si>
  <si>
    <t xml:space="preserve">Obiettivo 2032</t>
  </si>
  <si>
    <t xml:space="preserve">Collo di bottiglia</t>
  </si>
  <si>
    <t xml:space="preserve">1. Rilevamento</t>
  </si>
  <si>
    <t xml:space="preserve">82.505 trovati; 1 ordine ogni 3,9 rilevamenti; molti “invitati” senza fascicolo</t>
  </si>
  <si>
    <t xml:space="preserve">Fascicolo digitale unico per persona (Eurodac + SIS + EES) aperto entro 24 h</t>
  </si>
  <si>
    <t xml:space="preserve">Polizie, Questure</t>
  </si>
  <si>
    <t xml:space="preserve">Quota rilevamenti con fascicolo entro 24 h</t>
  </si>
  <si>
    <t xml:space="preserve">Sistemi non integrati tra Questure</t>
  </si>
  <si>
    <t xml:space="preserve">2. Decisione</t>
  </si>
  <si>
    <t xml:space="preserve">Ordine del prefetto; diniego asilo e ordine in atti separati</t>
  </si>
  <si>
    <t xml:space="preserve">Atto unico diniego + ordine (reg. UE rimpatri); ordine europeo valido in tutta l’UE</t>
  </si>
  <si>
    <t xml:space="preserve">Prefetto, Commissioni territoriali</t>
  </si>
  <si>
    <t xml:space="preserve">Giorni diniego → ordine</t>
  </si>
  <si>
    <t xml:space="preserve">0</t>
  </si>
  <si>
    <t xml:space="preserve">Contenzioso: ricorso con sospensiva</t>
  </si>
  <si>
    <t xml:space="preserve">3. Offerta volontaria</t>
  </si>
  <si>
    <t xml:space="preserve">Quasi assente (717 RVA in 31 mesi)</t>
  </si>
  <si>
    <t xml:space="preserve">Colloquio obbligatorio entro 7 gg; incentivo UE; partner OIM; informazione nei CAS</t>
  </si>
  <si>
    <t xml:space="preserve">Questura, OIM</t>
  </si>
  <si>
    <t xml:space="preserve">Quota ordini con offerta entro 7 gg</t>
  </si>
  <si>
    <t xml:space="preserve">Fondi e personale</t>
  </si>
  <si>
    <t xml:space="preserve">4. Identificazione e documenti</t>
  </si>
  <si>
    <t xml:space="preserve">Collo di bottiglia: Marocco, Algeria, Pakistan, Bangladesh non rispondono; 148 gg in CPR</t>
  </si>
  <si>
    <t xml:space="preserve">Identificazione in carcere e in CAS prima dell’ordine; accordi con lasciapassare in 15 gg; leva visti art. 25a</t>
  </si>
  <si>
    <t xml:space="preserve">Questura, consolati, Farnesina</t>
  </si>
  <si>
    <t xml:space="preserve">Giorni richiesta → lasciapassare</t>
  </si>
  <si>
    <t xml:space="preserve">15</t>
  </si>
  <si>
    <t xml:space="preserve">Volontà politica dei paesi d’origine</t>
  </si>
  <si>
    <t xml:space="preserve">5. Prevenzione della fuga</t>
  </si>
  <si>
    <t xml:space="preserve">CPR: 883 posti utilizzabili su 1.492; occupazione 46%</t>
  </si>
  <si>
    <t xml:space="preserve">Obbligo di firma e residenza; braccialetto; CPR solo per chi ha il documento in arrivo</t>
  </si>
  <si>
    <t xml:space="preserve">Questura, giudice di pace</t>
  </si>
  <si>
    <t xml:space="preserve">Giorni medi in CPR</t>
  </si>
  <si>
    <t xml:space="preserve">60</t>
  </si>
  <si>
    <t xml:space="preserve">Convalide e proroghe lente</t>
  </si>
  <si>
    <t xml:space="preserve">6. Ricorsi</t>
  </si>
  <si>
    <t xml:space="preserve">Sospensiva frequente; tempi 6-12 mesi</t>
  </si>
  <si>
    <t xml:space="preserve">Rito accelerato 30 gg per paesi sicuri; udienza in videoconferenza</t>
  </si>
  <si>
    <t xml:space="preserve">Tribunali</t>
  </si>
  <si>
    <t xml:space="preserve">Giorni medi del ricorso</t>
  </si>
  <si>
    <t xml:space="preserve">30</t>
  </si>
  <si>
    <t xml:space="preserve">Carico dei tribunali</t>
  </si>
  <si>
    <t xml:space="preserve">7. Trasferimento</t>
  </si>
  <si>
    <t xml:space="preserve">Charter limitati dai tetti (Tunisia 80/settimana); volo di linea costoso</t>
  </si>
  <si>
    <t xml:space="preserve">Programmazione annuale dei voli con Frontex; charter congiunti</t>
  </si>
  <si>
    <t xml:space="preserve">Viminale, Frontex</t>
  </si>
  <si>
    <t xml:space="preserve">12.777</t>
  </si>
  <si>
    <t xml:space="preserve">Capacità di accoglienza dei paesi d’origine</t>
  </si>
  <si>
    <t xml:space="preserve">8. Reinserimento</t>
  </si>
  <si>
    <t xml:space="preserve">Nessun monitoraggio</t>
  </si>
  <si>
    <t xml:space="preserve">Incentivo in 2 tranche; verifica a 6 mesi; dato pubblicato</t>
  </si>
  <si>
    <t xml:space="preserve">OIM, paese d’origine</t>
  </si>
  <si>
    <t xml:space="preserve">Quota rientrati verificati a 6 mesi</t>
  </si>
  <si>
    <t xml:space="preserve">80%</t>
  </si>
  <si>
    <t xml:space="preserve">3 · Fase 2, 3, 4: come si attiva il perimetro</t>
  </si>
  <si>
    <t xml:space="preserve">Evento che apre il perimetro</t>
  </si>
  <si>
    <t xml:space="preserve">Procedura concreta</t>
  </si>
  <si>
    <t xml:space="preserve">Persone l’anno (ordine di grandezza)</t>
  </si>
  <si>
    <t xml:space="preserve">Tempo</t>
  </si>
  <si>
    <t xml:space="preserve">Vincolo principale</t>
  </si>
  <si>
    <t xml:space="preserve">Richiedenti asilo (Fase 2)</t>
  </si>
  <si>
    <t xml:space="preserve">Diniego in prima istanza (≈ 50.400 l’anno)</t>
  </si>
  <si>
    <t xml:space="preserve">Procedura di frontiera 12 settimane nei CTRA per paesi &lt; 20%; diniego + ordine in un atto; RVA offerto nel centro</t>
  </si>
  <si>
    <t xml:space="preserve">Commissioni, Questura, CTRA</t>
  </si>
  <si>
    <t xml:space="preserve">50.000</t>
  </si>
  <si>
    <t xml:space="preserve">12 settimane</t>
  </si>
  <si>
    <t xml:space="preserve">Ricorsi; posti CTRA (1.033)</t>
  </si>
  <si>
    <t xml:space="preserve">Permessi a termine (Fase 2)</t>
  </si>
  <si>
    <t xml:space="preserve">Perdita del lavoro oltre 12 mesi; reddito sotto soglia; fine stagione o corso</t>
  </si>
  <si>
    <t xml:space="preserve">Incrocio INPS-Questura al rinnovo; stagionali: controllo uscita EES; mancato rinnovo → ordine</t>
  </si>
  <si>
    <t xml:space="preserve">Questura, INPS, EES</t>
  </si>
  <si>
    <t xml:space="preserve">n.d. (da misurare)</t>
  </si>
  <si>
    <t xml:space="preserve">Alla scadenza</t>
  </si>
  <si>
    <t xml:space="preserve">Nessun dato oggi; art. 8 CEDU per famiglie</t>
  </si>
  <si>
    <t xml:space="preserve">Lungo soggiornanti (Fase 2)</t>
  </si>
  <si>
    <t xml:space="preserve">Condanna per reati artt. 380-381 c.p.p.; assenza &gt; 12 mesi</t>
  </si>
  <si>
    <t xml:space="preserve">Segnalazione automatica DAP → Questura; revoca; espulsione a fine pena</t>
  </si>
  <si>
    <t xml:space="preserve">DAP, Questura, Prefetto</t>
  </si>
  <si>
    <t xml:space="preserve">Centinaia</t>
  </si>
  <si>
    <t xml:space="preserve">Durante la pena</t>
  </si>
  <si>
    <t xml:space="preserve">Valutazione individuale; ricorsi</t>
  </si>
  <si>
    <t xml:space="preserve">Protezione sussidiaria e speciale (Fase 2)</t>
  </si>
  <si>
    <t xml:space="preserve">Scadenza del permesso (5 e 2 anni)</t>
  </si>
  <si>
    <t xml:space="preserve">Riesame d’ufficio sulla situazione del paese; cessazione → ordine</t>
  </si>
  <si>
    <t xml:space="preserve">Commissione nazionale</t>
  </si>
  <si>
    <t xml:space="preserve">Migliaia (es. Siria, Ucraina)</t>
  </si>
  <si>
    <t xml:space="preserve">Non-refoulement</t>
  </si>
  <si>
    <t xml:space="preserve">Condannati extra-UE (Fase 1)</t>
  </si>
  <si>
    <t xml:space="preserve">Sentenza definitiva</t>
  </si>
  <si>
    <t xml:space="preserve">Identificazione consolare in carcere nei primi 6 mesi; lasciapassare pronto; espulsione al fine pena o alternativa (residuo ≤ 2 anni)</t>
  </si>
  <si>
    <t xml:space="preserve">DAP, Questura, magistrato di sorveglianza</t>
  </si>
  <si>
    <t xml:space="preserve">4.000 nel 2032</t>
  </si>
  <si>
    <t xml:space="preserve">Entro la pena</t>
  </si>
  <si>
    <t xml:space="preserve">Riammissione dei paesi</t>
  </si>
  <si>
    <t xml:space="preserve">Romania (Fase 4)</t>
  </si>
  <si>
    <t xml:space="preserve">Condanna o assenza di risorse</t>
  </si>
  <si>
    <t xml:space="preserve">Allontanamento art. 20-21; esecuzione pena in Romania (DQ 2008/909)</t>
  </si>
  <si>
    <t xml:space="preserve">Prefetto, Min. Giustizia</t>
  </si>
  <si>
    <t xml:space="preserve">1.000 + 900</t>
  </si>
  <si>
    <t xml:space="preserve">3-12 mesi</t>
  </si>
  <si>
    <t xml:space="preserve">Dir. 2004/38: solo casi individuali</t>
  </si>
  <si>
    <t xml:space="preserve">Protezione temporanea (Fase 4)</t>
  </si>
  <si>
    <t xml:space="preserve">Scadenza 4.3.2028</t>
  </si>
  <si>
    <t xml:space="preserve">Censimento 2027: lavoro sì/no; conversione per chi lavora; RVA verso Ucraina per gli altri</t>
  </si>
  <si>
    <t xml:space="preserve">Viminale, OIM, Ucraina</t>
  </si>
  <si>
    <t xml:space="preserve">160.000 in 2 anni</t>
  </si>
  <si>
    <t xml:space="preserve">2027-2029</t>
  </si>
  <si>
    <t xml:space="preserve">Situazione di guerra</t>
  </si>
  <si>
    <t xml:space="preserve">Naturalizzati (Fase 3)</t>
  </si>
  <si>
    <t xml:space="preserve">Legge sulla revoca (2027) e riforma costituzionale (2027-2030)</t>
  </si>
  <si>
    <t xml:space="preserve">2027 legge ordinaria: revoca per reati gravi entro 10 anni; 2027-29 riforma artt. 3 e 22 con referendum; dal 2030 allontanamento dei condannati; programma di rientro volontario con incentivo dal 2027</t>
  </si>
  <si>
    <t xml:space="preserve">Parlamento, elettori, Viminale</t>
  </si>
  <si>
    <t xml:space="preserve">3.000 revoche + 10.000 rientri volontari l’anno a regime</t>
  </si>
  <si>
    <t xml:space="preserve">3 anni</t>
  </si>
  <si>
    <t xml:space="preserve">Tempi parlamentari; apolidia (serve seconda cittadinanza)</t>
  </si>
  <si>
    <t xml:space="preserve">Seconda generazione (Fase 3)</t>
  </si>
  <si>
    <t xml:space="preserve">Idem; nel frattempo chiusura del rubinetto: art. 4 c. 2 e art. 14 L. 91/92</t>
  </si>
  <si>
    <t xml:space="preserve">Idem; rinuncia alla cittadinanza incentivata (art. 14) per chi aderisce al rientro volontario</t>
  </si>
  <si>
    <t xml:space="preserve">Parlamento, Viminale</t>
  </si>
  <si>
    <t xml:space="preserve">4 · Paesi d’origine: riammissione</t>
  </si>
  <si>
    <t xml:space="preserve">Paese</t>
  </si>
  <si>
    <t xml:space="preserve">Situazione 2025</t>
  </si>
  <si>
    <t xml:space="preserve">Cosa serve</t>
  </si>
  <si>
    <t xml:space="preserve">Leva</t>
  </si>
  <si>
    <t xml:space="preserve">Rimpatri IT 2025</t>
  </si>
  <si>
    <t xml:space="preserve">Strumento</t>
  </si>
  <si>
    <t xml:space="preserve">Accordo operativo; tetto 80/settimana; charter 78 → 28; 1.849 → 600 rimpatri</t>
  </si>
  <si>
    <t xml:space="preserve">Alzare il tetto a 200/settimana; charter programmati</t>
  </si>
  <si>
    <t xml:space="preserve">MoU UE-Tunisia 2023 (105 M€); quote lavoro</t>
  </si>
  <si>
    <t xml:space="preserve">600</t>
  </si>
  <si>
    <t xml:space="preserve">3.000</t>
  </si>
  <si>
    <t xml:space="preserve">Charter nazionale</t>
  </si>
  <si>
    <t xml:space="preserve">Egitto</t>
  </si>
  <si>
    <t xml:space="preserve">18 charter; 454 rimpatri; 52% degli ingressi in CPR rimpatriati</t>
  </si>
  <si>
    <t xml:space="preserve">Raddoppiare i charter</t>
  </si>
  <si>
    <t xml:space="preserve">Partenariato UE-Egitto 2024 (7,4 mld €); visti</t>
  </si>
  <si>
    <t xml:space="preserve">454</t>
  </si>
  <si>
    <t xml:space="preserve">1.500</t>
  </si>
  <si>
    <t xml:space="preserve">Albania</t>
  </si>
  <si>
    <t xml:space="preserve">Riammissione funziona; accordo esecuzione pena 2002</t>
  </si>
  <si>
    <t xml:space="preserve">Volume</t>
  </si>
  <si>
    <t xml:space="preserve">Candidatura UE</t>
  </si>
  <si>
    <t xml:space="preserve">1.000</t>
  </si>
  <si>
    <t xml:space="preserve">Volo di linea; trasferimento pena</t>
  </si>
  <si>
    <t xml:space="preserve">Prima nazionalità in carcere (4.358); lasciapassare rari</t>
  </si>
  <si>
    <t xml:space="preserve">Accordo di riammissione con tempi certi</t>
  </si>
  <si>
    <t xml:space="preserve">Visti art. 25a; commercio UE; Piano Mattei</t>
  </si>
  <si>
    <t xml:space="preserve">Accordo bilaterale</t>
  </si>
  <si>
    <t xml:space="preserve">Bassa</t>
  </si>
  <si>
    <t xml:space="preserve">Bangladesh</t>
  </si>
  <si>
    <t xml:space="preserve">Primo paese per richieste d’asilo (32.865); rigetti alti; riammissione lenta</t>
  </si>
  <si>
    <t xml:space="preserve">Accordo UE-Bangladesh (SOP 2017) applicato</t>
  </si>
  <si>
    <t xml:space="preserve">Visti; quote lavoro (decreto flussi)</t>
  </si>
  <si>
    <t xml:space="preserve">Charter Frontex</t>
  </si>
  <si>
    <t xml:space="preserve">Pakistan</t>
  </si>
  <si>
    <t xml:space="preserve">Riammissione formale (accordo UE 2010) ma identificazione lenta</t>
  </si>
  <si>
    <t xml:space="preserve">Identificazione consolare in carcere e CAS</t>
  </si>
  <si>
    <t xml:space="preserve">Visti; GSP+ commercio</t>
  </si>
  <si>
    <t xml:space="preserve">800</t>
  </si>
  <si>
    <t xml:space="preserve">Algeria</t>
  </si>
  <si>
    <t xml:space="preserve">Nessuna cooperazione</t>
  </si>
  <si>
    <t xml:space="preserve">Accordo politico</t>
  </si>
  <si>
    <t xml:space="preserve">Gas; visti</t>
  </si>
  <si>
    <t xml:space="preserve">500</t>
  </si>
  <si>
    <t xml:space="preserve">Volo di linea</t>
  </si>
  <si>
    <t xml:space="preserve">Nigeria</t>
  </si>
  <si>
    <t xml:space="preserve">Charter congiunti Frontex; cooperazione parziale</t>
  </si>
  <si>
    <t xml:space="preserve">Continuità</t>
  </si>
  <si>
    <t xml:space="preserve">Visti; aiuti</t>
  </si>
  <si>
    <t xml:space="preserve">Georgia</t>
  </si>
  <si>
    <t xml:space="preserve">Riammissione funziona (accordo UE 2011)</t>
  </si>
  <si>
    <t xml:space="preserve">300</t>
  </si>
  <si>
    <t xml:space="preserve">Ucraina (Fase 4)</t>
  </si>
  <si>
    <t xml:space="preserve">Riammette i propri cittadini</t>
  </si>
  <si>
    <t xml:space="preserve">Programma di rientro volontario</t>
  </si>
  <si>
    <t xml:space="preserve">Ricostruzione UE</t>
  </si>
  <si>
    <t xml:space="preserve">40.000 (2028)</t>
  </si>
  <si>
    <t xml:space="preserve">RVA</t>
  </si>
  <si>
    <t xml:space="preserve">Stato UE: nessun problema di riammissione</t>
  </si>
  <si>
    <t xml:space="preserve">Applicare art. 20 e DQ 2008/909</t>
  </si>
  <si>
    <t xml:space="preserve">1.900</t>
  </si>
  <si>
    <t xml:space="preserve">Allontanamento; trasferimento pena</t>
  </si>
  <si>
    <t xml:space="preserve">5 · Se il paese d’origine non riammette: soluzioni alternative</t>
  </si>
  <si>
    <t xml:space="preserve">Soluzione</t>
  </si>
  <si>
    <t xml:space="preserve">Come funziona</t>
  </si>
  <si>
    <t xml:space="preserve">Base giuridica</t>
  </si>
  <si>
    <t xml:space="preserve">Costo</t>
  </si>
  <si>
    <t xml:space="preserve">Limite</t>
  </si>
  <si>
    <t xml:space="preserve">A. Leva dei visti (art. 25a Codice visti)</t>
  </si>
  <si>
    <t xml:space="preserve">Riduzione visti Schengen, tasse più alte, tempi più lunghi per i cittadini del paese che non coopera; già applicata a Gambia, Etiopia</t>
  </si>
  <si>
    <t xml:space="preserve">Marocco, Algeria, Pakistan, Bangladesh</t>
  </si>
  <si>
    <t xml:space="preserve">Reg. (UE) 810/2009 art. 25a</t>
  </si>
  <si>
    <t xml:space="preserve">Nullo</t>
  </si>
  <si>
    <t xml:space="preserve">3-6 mesi per la decisione UE</t>
  </si>
  <si>
    <t xml:space="preserve">Serve maggioranza qualificata in Consiglio</t>
  </si>
  <si>
    <t xml:space="preserve">B. Condizionalità commerciale e aiuti</t>
  </si>
  <si>
    <t xml:space="preserve">GSP+ (Pakistan, Bangladesh), accordi di associazione (Marocco), Piano Mattei, rimesse: riammissione come condizione</t>
  </si>
  <si>
    <t xml:space="preserve">Tutti</t>
  </si>
  <si>
    <t xml:space="preserve">Reg. GSP (UE) 2023; accordi bilaterali</t>
  </si>
  <si>
    <t xml:space="preserve">Nullo o negativo (aiuti sospesi)</t>
  </si>
  <si>
    <t xml:space="preserve">1-2 anni</t>
  </si>
  <si>
    <t xml:space="preserve">Interessi economici contrari (gas algerino, tessile Bangladesh)</t>
  </si>
  <si>
    <t xml:space="preserve">C. Rimpatrio verso paese terzo o hub</t>
  </si>
  <si>
    <t xml:space="preserve">Trasferimento in un paese che accetta (hub di rimpatrio del regolamento UE 2026; Albania; accordi tipo Ruanda) quando il paese d’origine rifiuta</t>
  </si>
  <si>
    <t xml:space="preserve">Chi è identificato ma non riammesso</t>
  </si>
  <si>
    <t xml:space="preserve">Reg. UE rimpatri 2026 (return hubs); L. 14/2024</t>
  </si>
  <si>
    <t xml:space="preserve">≈ 10.000 € a persona (ipotesi)</t>
  </si>
  <si>
    <t xml:space="preserve">6-12 mesi per gli accordi</t>
  </si>
  <si>
    <t xml:space="preserve">Serve un paese ospitante; CEDU art. 3</t>
  </si>
  <si>
    <t xml:space="preserve">D. Trattenimento prolungato</t>
  </si>
  <si>
    <t xml:space="preserve">Fino a 24 + 6 mesi in CPR o Gjadër finché il documento arriva; pressione sul consolato</t>
  </si>
  <si>
    <t xml:space="preserve">Non cooperanti con rischio di fuga</t>
  </si>
  <si>
    <t xml:space="preserve">Reg. UE rimpatri 2026</t>
  </si>
  <si>
    <t xml:space="preserve">110 €/giorno (≈ 100.000 € a persona per 30 mesi)</t>
  </si>
  <si>
    <t xml:space="preserve">Immediato</t>
  </si>
  <si>
    <t xml:space="preserve">Costo; convalide del giudice ogni 3 mesi</t>
  </si>
  <si>
    <t xml:space="preserve">E. Reato di mancata cooperazione</t>
  </si>
  <si>
    <t xml:space="preserve">Chi rifiuta di dichiarare l’identità o di collaborare al rimpatrio commette reato: detenzione in carcere, poi espulsione come misura di sicurezza</t>
  </si>
  <si>
    <t xml:space="preserve">Non cooperanti</t>
  </si>
  <si>
    <t xml:space="preserve">Reg. UE rimpatri 2026 (obbligo di cooperazione); TU art. 14 c. 5-ter da rafforzare</t>
  </si>
  <si>
    <t xml:space="preserve">140 €/giorno di carcere</t>
  </si>
  <si>
    <t xml:space="preserve">Legge ordinaria 2027</t>
  </si>
  <si>
    <t xml:space="preserve">Corte di giustizia UE (sentenza El Dridi): la pena non può ostacolare il rimpatrio</t>
  </si>
  <si>
    <t xml:space="preserve">F. Incentivo volontario maggiorato</t>
  </si>
  <si>
    <t xml:space="preserve">Incentivo doppio (fino a 5.000 €) per chi parte entro 30 giorni verso un paese che non coopera sui forzati: il volontario non ha bisogno di lasciapassare consolare, basta il passaporto o un documento del paese</t>
  </si>
  <si>
    <t xml:space="preserve">Chi ha ancora un passaporto</t>
  </si>
  <si>
    <t xml:space="preserve">TU art. 14-ter</t>
  </si>
  <si>
    <t xml:space="preserve">5.000 € contro 16.560 € di un forzato da CPR</t>
  </si>
  <si>
    <t xml:space="preserve">Funziona solo per chi ha documenti</t>
  </si>
  <si>
    <t xml:space="preserve">G. Permanenza vincolata</t>
  </si>
  <si>
    <t xml:space="preserve">Per chi resta non rimpatriabile: nessun permesso, obbligo di firma, residenza assegnata, niente accesso a prestazioni sociali non essenziali, lavoro solo in programmi pubblici; rivalutazione ogni 6 mesi</t>
  </si>
  <si>
    <t xml:space="preserve">Residuo non rimpatriabile</t>
  </si>
  <si>
    <t xml:space="preserve">Legge ordinaria; reg. UE rimpatri</t>
  </si>
  <si>
    <t xml:space="preserve">Basso</t>
  </si>
  <si>
    <t xml:space="preserve">Legge 2027</t>
  </si>
  <si>
    <t xml:space="preserve">Diritti fondamentali (vitto, cure urgenti) restano</t>
  </si>
  <si>
    <t xml:space="preserve">H. Pressione europea congiunta</t>
  </si>
  <si>
    <t xml:space="preserve">Gli alleati (FR, DE, AT, IT) chiedono insieme la riammissione: sospensione coordinata dei visti e degli accordi</t>
  </si>
  <si>
    <t xml:space="preserve">Marocco, Algeria</t>
  </si>
  <si>
    <t xml:space="preserve">Consiglio UE</t>
  </si>
  <si>
    <t xml:space="preserve">2027-2028</t>
  </si>
  <si>
    <t xml:space="preserve">Serve l’allineamento politico ipotizzato dal GRP</t>
  </si>
  <si>
    <t xml:space="preserve">Ordine di applicazione: F (volontario) → A e H (pressione) → B (condizionalità) → C (paese terzo) → D ed E (trattenimento, reato) → G (permanenza vincolata) per il residuo.</t>
  </si>
  <si>
    <t xml:space="preserve">6 · Scorecard di fattibilità e alternativa (1 = terzi non cooperano, 5 = già possibile)</t>
  </si>
  <si>
    <t xml:space="preserve">Cooperazione di terzi (paesi d’origine, UE)</t>
  </si>
  <si>
    <t xml:space="preserve">Capacità operativa italiana</t>
  </si>
  <si>
    <t xml:space="preserve">Totale /15</t>
  </si>
  <si>
    <t xml:space="preserve">Giudizio</t>
  </si>
  <si>
    <t xml:space="preserve">Se la cooperazione manca: alternativa</t>
  </si>
  <si>
    <t xml:space="preserve">Fase 1 · Irregolari</t>
  </si>
  <si>
    <t xml:space="preserve">Fattibile; dipende da Marocco, Algeria, Pakistan, Bangladesh</t>
  </si>
  <si>
    <t xml:space="preserve">F volontario maggiorato → A/H visti → C paese terzo → D/E → G permanenza vincolata</t>
  </si>
  <si>
    <t xml:space="preserve">Fase 1 · Condannati</t>
  </si>
  <si>
    <t xml:space="preserve">Prioritaria: identificazione in carcere</t>
  </si>
  <si>
    <t xml:space="preserve">E reato di mancata cooperazione; C paese terzo; trasferimento pena dove c’è accordo</t>
  </si>
  <si>
    <t xml:space="preserve">Fase 2 · Richiedenti asilo respinti</t>
  </si>
  <si>
    <t xml:space="preserve">Fattibile con procedura di frontiera</t>
  </si>
  <si>
    <t xml:space="preserve">Decisione e rimpatrio dal CTRA; F volontario; C hub</t>
  </si>
  <si>
    <t xml:space="preserve">Fase 2 · Permessi a termine</t>
  </si>
  <si>
    <t xml:space="preserve">Fattibile: serve il sistema di tracciamento</t>
  </si>
  <si>
    <t xml:space="preserve">Nessuna alternativa necessaria: il titolo scade per legge; poi come Fase 1</t>
  </si>
  <si>
    <t xml:space="preserve">Fase 2 · Lungo soggiornanti</t>
  </si>
  <si>
    <t xml:space="preserve">Condannati subito; gli altri dopo la revisione della dir. 2003/109</t>
  </si>
  <si>
    <t xml:space="preserve">Revoca per assenza e frode; poi come Fase 1</t>
  </si>
  <si>
    <t xml:space="preserve">Fase 2 · Rifugiati</t>
  </si>
  <si>
    <t xml:space="preserve">Dopo la revisione UE della direttiva qualifiche</t>
  </si>
  <si>
    <t xml:space="preserve">Cessazione per paesi tornati sicuri (Siria); revoca per reati; C paese terzo sicuro</t>
  </si>
  <si>
    <t xml:space="preserve">Fase 3 · Naturalizzati e seconda generazione</t>
  </si>
  <si>
    <t xml:space="preserve">Tempi parlamentari, non terzi: i paesi d’origine riammettono chi ha ancora la loro cittadinanza</t>
  </si>
  <si>
    <t xml:space="preserve">Rientro volontario incentivato con rinuncia (art. 14); per chi ha solo la cittadinanza italiana serve la seconda cittadinanza (apolidia)</t>
  </si>
  <si>
    <t xml:space="preserve">Fase 4 · Romania</t>
  </si>
  <si>
    <t xml:space="preserve">Nessuna necessaria</t>
  </si>
  <si>
    <t xml:space="preserve">Fase 4 · Protezione temporanea</t>
  </si>
  <si>
    <t xml:space="preserve">Ucraina riammette; dipende dalla guerra</t>
  </si>
  <si>
    <t xml:space="preserve">Conversione a permesso a termine (→ Fase 2) se il rientro non è possibile</t>
  </si>
  <si>
    <t xml:space="preserve">Ipotesi di base del GRP: le norme UE e nazionali vengono cambiate entro pochi anni in senso favorevole; il punteggio è basso solo quando terzi (paesi d’origine) non cooperano. Punteggi: ipotesi di lavoro.</t>
  </si>
  <si>
    <t xml:space="preserve">Great Remigration Plan · Funnel per i 27 Stati membri</t>
  </si>
  <si>
    <t xml:space="preserve">Stesse categorie e stesse fasi del tab Italia. Fonti solo Eurostat (1.1.2025; LFS 2025; flussi 2025). n.d. = non pubblicato da Eurostat.</t>
  </si>
  <si>
    <t xml:space="preserve">Italia</t>
  </si>
  <si>
    <t xml:space="preserve">Austria</t>
  </si>
  <si>
    <t xml:space="preserve">Belgio</t>
  </si>
  <si>
    <t xml:space="preserve">Bulgaria</t>
  </si>
  <si>
    <t xml:space="preserve">Cipro</t>
  </si>
  <si>
    <t xml:space="preserve">Croazia</t>
  </si>
  <si>
    <t xml:space="preserve">Danimarca</t>
  </si>
  <si>
    <t xml:space="preserve">Estonia</t>
  </si>
  <si>
    <t xml:space="preserve">Finlandia</t>
  </si>
  <si>
    <t xml:space="preserve">Francia</t>
  </si>
  <si>
    <t xml:space="preserve">Germania</t>
  </si>
  <si>
    <t xml:space="preserve">Grecia</t>
  </si>
  <si>
    <t xml:space="preserve">Irlanda</t>
  </si>
  <si>
    <t xml:space="preserve">Lettonia</t>
  </si>
  <si>
    <t xml:space="preserve">Lituania</t>
  </si>
  <si>
    <t xml:space="preserve">Lussemburgo</t>
  </si>
  <si>
    <t xml:space="preserve">Malta</t>
  </si>
  <si>
    <t xml:space="preserve">Paesi Bassi</t>
  </si>
  <si>
    <t xml:space="preserve">Polonia</t>
  </si>
  <si>
    <t xml:space="preserve">Portogallo</t>
  </si>
  <si>
    <t xml:space="preserve">Repubblica Ceca</t>
  </si>
  <si>
    <t xml:space="preserve">Slovacchia</t>
  </si>
  <si>
    <t xml:space="preserve">Slovenia</t>
  </si>
  <si>
    <t xml:space="preserve">Spagna</t>
  </si>
  <si>
    <t xml:space="preserve">Svezia</t>
  </si>
  <si>
    <t xml:space="preserve">Ungheria</t>
  </si>
  <si>
    <t xml:space="preserve">UE27 (somma dei paesi con dato)</t>
  </si>
  <si>
    <t xml:space="preserve">Popolazione residente</t>
  </si>
  <si>
    <t xml:space="preserve">nati nel paese</t>
  </si>
  <si>
    <t xml:space="preserve">da genitori nati nel paese (residuo)</t>
  </si>
  <si>
    <t xml:space="preserve">seconda generazione, cittadini 15-74 (LFS)</t>
  </si>
  <si>
    <t xml:space="preserve">nati all’estero</t>
  </si>
  <si>
    <t xml:space="preserve">naturalizzati: acquisizioni 2015-2024 (stima per difetto)</t>
  </si>
  <si>
    <t xml:space="preserve">altri nati all’estero (residuo)</t>
  </si>
  <si>
    <t xml:space="preserve">protezione temporanea</t>
  </si>
  <si>
    <t xml:space="preserve">richiedenti asilo in attesa (dic 2025)</t>
  </si>
  <si>
    <t xml:space="preserve">altri regolari: lungo soggiornanti e permessi a termine (residuo)</t>
  </si>
  <si>
    <t xml:space="preserve">Irregolari presenti (stock)</t>
  </si>
  <si>
    <t xml:space="preserve">Flussi 2025</t>
  </si>
  <si>
    <t xml:space="preserve">UE27</t>
  </si>
  <si>
    <t xml:space="preserve">Rimpatri verso paesi terzi</t>
  </si>
  <si>
    <t xml:space="preserve">F3/F2</t>
  </si>
  <si>
    <t xml:space="preserve">Tasso di esecuzione</t>
  </si>
  <si>
    <t xml:space="preserve">Memo</t>
  </si>
  <si>
    <t xml:space="preserve">Permessi di soggiorno validi (Eurostat migr_resvalid, 31.12.2024)</t>
  </si>
  <si>
    <t xml:space="preserve">Differenze rispetto al tab Italia: A2a usa le acquisizioni cumulate 2015-2024 (Eurostat) al posto dello stock ISTAT; C3 non distingue lungo soggiornanti e permessi a termine (Eurostat migr_reslong da estrarre); B non isola la quota “tipo Romania” (Fase 4): serve migr_pop1ctz per cittadinanza; D (stock irregolari) esiste solo per l’Italia (ISMU).</t>
  </si>
  <si>
    <t xml:space="preserve">Danimarca e Malta: Eurostat non pubblica la LFS per cittadinanza (A1b n.d.). Portogallo: popolazione per cittadinanza non pubblicata (A, B, C n.d.). Germania, Francia, Polonia e altri 9: cittadini nati all’estero n.d. (A2 n.d.).</t>
  </si>
  <si>
    <t xml:space="preserve">Costi 2027-2032 · Italia</t>
  </si>
  <si>
    <t xml:space="preserve">Blu = ipotesi modificabili; nero = formule; verde = collegato al Tracker. Importi in euro; totali in milioni.</t>
  </si>
  <si>
    <t xml:space="preserve">1 · Costi unitari (ipotesi)</t>
  </si>
  <si>
    <t xml:space="preserve">Valore</t>
  </si>
  <si>
    <t xml:space="preserve">Fonte / nota</t>
  </si>
  <si>
    <t xml:space="preserve">Volontario: trasporto</t>
  </si>
  <si>
    <t xml:space="preserve">Stima UE (biglietto aereo medio)</t>
  </si>
  <si>
    <t xml:space="preserve">Volontario: incentivo di reinserimento</t>
  </si>
  <si>
    <t xml:space="preserve">UE 630-2.450 € dal 1.6.2026; valore medio</t>
  </si>
  <si>
    <t xml:space="preserve">Volontario: gestione (OIM, colloqui)</t>
  </si>
  <si>
    <t xml:space="preserve">Ipotesi</t>
  </si>
  <si>
    <t xml:space="preserve">Forzato: trasporto e scorta (volo di linea, 2 agenti)</t>
  </si>
  <si>
    <t xml:space="preserve">Stima UE bassa; Frontex media 2.600 €</t>
  </si>
  <si>
    <t xml:space="preserve">Forzato: charter a persona</t>
  </si>
  <si>
    <t xml:space="preserve">Frontex 2024: 146,2 M€ / 56.263 rimpatri</t>
  </si>
  <si>
    <t xml:space="preserve">CPR: costo per giorno tutto compreso (gestione + polizia + struttura)</t>
  </si>
  <si>
    <t xml:space="preserve">ActionAid/UniBa: 16.560 € a 148 giorni ≈ 112 €/giorno; gestione sola 37-77 €</t>
  </si>
  <si>
    <t xml:space="preserve">CPR: capex per posto nuovo</t>
  </si>
  <si>
    <t xml:space="preserve">Porto Empedocle 1 M€ / 50 posti; Gjadër 153.000 €</t>
  </si>
  <si>
    <t xml:space="preserve">Procedura di frontiera: costo aggiuntivo per domanda rispetto all’accoglienza ordinaria</t>
  </si>
  <si>
    <t xml:space="preserve">40 giorni × (40 € CTRA − 35 € CAS); CTRA 37,22 €/giorno Porto Empedocle, 76,57 € Gjadër</t>
  </si>
  <si>
    <t xml:space="preserve">Accoglienza: costo per giorno a persona</t>
  </si>
  <si>
    <t xml:space="preserve">CAS/SAI, dato standard</t>
  </si>
  <si>
    <t xml:space="preserve">Carcere: costo per giorno a detenuto</t>
  </si>
  <si>
    <t xml:space="preserve">Ipotesi da verificare (Antigone ≈ 137 €)</t>
  </si>
  <si>
    <t xml:space="preserve">Allontanamento cittadino UE</t>
  </si>
  <si>
    <t xml:space="preserve">Ipotesi: volo breve, nessun documento</t>
  </si>
  <si>
    <t xml:space="preserve">Rientro volontario in Ucraina (trasporto + incentivo)</t>
  </si>
  <si>
    <t xml:space="preserve">Fase 3: incentivo al rientro volontario con rinuncia alla cittadinanza</t>
  </si>
  <si>
    <t xml:space="preserve">Ipotesi: incentivo elevato, una tantum</t>
  </si>
  <si>
    <t xml:space="preserve">Organizzazione: autorità unica e personale (M€/anno)</t>
  </si>
  <si>
    <t xml:space="preserve">Ipotesi: 1.000 FTE × 50.000 €</t>
  </si>
  <si>
    <t xml:space="preserve">Fascicolo digitale: investimento una tantum (M€)</t>
  </si>
  <si>
    <t xml:space="preserve">Incentivi ai paesi d’origine (M€/anno)</t>
  </si>
  <si>
    <t xml:space="preserve">Riferimento: MoU UE-Tunisia 105 M€ (2023); Piano Mattei</t>
  </si>
  <si>
    <t xml:space="preserve">Quota dei forzati che viaggia in charter</t>
  </si>
  <si>
    <t xml:space="preserve">Giorni di accoglienza risparmiati per rimpatrio eseguito di un diniegato</t>
  </si>
  <si>
    <t xml:space="preserve">Ipotesi: rimpatrio 6 mesi prima</t>
  </si>
  <si>
    <t xml:space="preserve">Quota dei rimpatri che riguarda diniegati in accoglienza</t>
  </si>
  <si>
    <t xml:space="preserve">Giorni di carcere risparmiati per espulsione alternativa/trasferimento</t>
  </si>
  <si>
    <t xml:space="preserve">Ipotesi: residuo pena medio 1 anno</t>
  </si>
  <si>
    <t xml:space="preserve">2 · Volumi (dal Tracker)</t>
  </si>
  <si>
    <t xml:space="preserve">Tracker</t>
  </si>
  <si>
    <t xml:space="preserve">Rimpatri forzati</t>
  </si>
  <si>
    <t xml:space="preserve">Quota forzati dal CPR</t>
  </si>
  <si>
    <t xml:space="preserve">Posti CPR necessari</t>
  </si>
  <si>
    <t xml:space="preserve">Espulsioni di detenuti (artt. 15-16)</t>
  </si>
  <si>
    <t xml:space="preserve">Detenuti UE trasferiti (DQ 2008/909)</t>
  </si>
  <si>
    <t xml:space="preserve">Domande in procedura di frontiera (paesi &lt; 20%)</t>
  </si>
  <si>
    <t xml:space="preserve">Quota Tracker × ≈ 60.000 domande da paesi &lt; 20% (ipotesi)</t>
  </si>
  <si>
    <t xml:space="preserve">Allontanamenti di cittadini UE</t>
  </si>
  <si>
    <t xml:space="preserve">Rientri volontari in Ucraina</t>
  </si>
  <si>
    <t xml:space="preserve">Revoche di cittadinanza e rimpatri Fase 3 (dopo la riforma)</t>
  </si>
  <si>
    <t xml:space="preserve">Rientri volontari incentivati Fase 3</t>
  </si>
  <si>
    <t xml:space="preserve">3 · Costi per anno (M€)</t>
  </si>
  <si>
    <t xml:space="preserve">Totale 2027-32</t>
  </si>
  <si>
    <t xml:space="preserve">Formula</t>
  </si>
  <si>
    <t xml:space="preserve">Rimpatri volontari</t>
  </si>
  <si>
    <t xml:space="preserve">volontari × (trasporto + incentivo + gestione)</t>
  </si>
  <si>
    <t xml:space="preserve">Rimpatri forzati: trasporto</t>
  </si>
  <si>
    <t xml:space="preserve">forzati × mix charter / volo di linea</t>
  </si>
  <si>
    <t xml:space="preserve">Rimpatri forzati: trattenimento in CPR</t>
  </si>
  <si>
    <t xml:space="preserve">forzati dal CPR × giorni × costo/giorno</t>
  </si>
  <si>
    <t xml:space="preserve">CPR: capex posti aggiuntivi</t>
  </si>
  <si>
    <t xml:space="preserve">solo i posti oltre il massimo già costruito (883 oggi)</t>
  </si>
  <si>
    <t xml:space="preserve">Procedure di frontiera (CTRA), costo aggiuntivo</t>
  </si>
  <si>
    <t xml:space="preserve">domande × costo aggiuntivo per domanda</t>
  </si>
  <si>
    <t xml:space="preserve">Espulsioni di detenuti (trasporto)</t>
  </si>
  <si>
    <t xml:space="preserve">già inclusi nei forzati? No: detenuti in aggiunta (ipotesi)</t>
  </si>
  <si>
    <t xml:space="preserve">Allontanamenti UE</t>
  </si>
  <si>
    <t xml:space="preserve">Rientri in Ucraina</t>
  </si>
  <si>
    <t xml:space="preserve">Fase 3: rimpatri di condannati e rientri volontari incentivati</t>
  </si>
  <si>
    <t xml:space="preserve">rimpatri × trasporto + rientri × incentivo Fase 3</t>
  </si>
  <si>
    <t xml:space="preserve">Organizzazione (autorità unica, personale)</t>
  </si>
  <si>
    <t xml:space="preserve">costo fisso annuo</t>
  </si>
  <si>
    <t xml:space="preserve">Fascicolo digitale (una tantum 2027)</t>
  </si>
  <si>
    <t xml:space="preserve">Incentivi ai paesi d’origine</t>
  </si>
  <si>
    <t xml:space="preserve">TOTALE COSTI</t>
  </si>
  <si>
    <t xml:space="preserve">4 · Risparmi per anno (M€)</t>
  </si>
  <si>
    <t xml:space="preserve">Accoglienza evitata (diniegati rimpatriati prima)</t>
  </si>
  <si>
    <t xml:space="preserve">rimpatri × quota in accoglienza × giorni × 35 €</t>
  </si>
  <si>
    <t xml:space="preserve">Carcere evitato (espulsioni alternative e trasferimenti)</t>
  </si>
  <si>
    <t xml:space="preserve">metà delle espulsioni sono alternative alla pena (ipotesi)</t>
  </si>
  <si>
    <t xml:space="preserve">CPR: giorni risparmiati rispetto ai 148 attuali</t>
  </si>
  <si>
    <t xml:space="preserve">stesso volume dal CPR, meno giorni</t>
  </si>
  <si>
    <t xml:space="preserve">TOTALE RISPARMI</t>
  </si>
  <si>
    <t xml:space="preserve">COSTO NETTO (costi − risparmi)</t>
  </si>
  <si>
    <t xml:space="preserve">Costo per rimpatrio eseguito (€, lordo)</t>
  </si>
  <si>
    <t xml:space="preserve">Costo variabile per rimpatrio (€): trasporto, trattenimento, incentivi</t>
  </si>
  <si>
    <t xml:space="preserve">Costo per rimpatrio eseguito (€, netto)</t>
  </si>
  <si>
    <t xml:space="preserve">5 · Riferimenti di spesa attuale</t>
  </si>
  <si>
    <t xml:space="preserve">Sistema CPR e CTRA, spesa 2024 (M€)</t>
  </si>
  <si>
    <t xml:space="preserve">ActionAid/UniBa: quasi 96 M€, più dei sei anni precedenti insieme</t>
  </si>
  <si>
    <t xml:space="preserve">Centri in Albania: contratti di costruzione (M€)</t>
  </si>
  <si>
    <t xml:space="preserve">ActionAid/UniBa; 153.000 € a posto</t>
  </si>
  <si>
    <t xml:space="preserve">Centri in Albania: preventivo 5 anni (M€)</t>
  </si>
  <si>
    <t xml:space="preserve">Governo 2024; stime fino a 1 mld</t>
  </si>
  <si>
    <t xml:space="preserve">Sistema di accoglienza, spesa al giorno 2022 (M€)</t>
  </si>
  <si>
    <t xml:space="preserve">Ministero dell’Interno: “oltre 4 milioni al giorno”</t>
  </si>
  <si>
    <t xml:space="preserve">Rimpatrio da CPR, costo medio 2025 (€)</t>
  </si>
  <si>
    <t xml:space="preserve">ActionAid/UniBa, 148 giorni</t>
  </si>
  <si>
    <t xml:space="preserve">Frontex, costo medio per rimpatrio 2024 (€)</t>
  </si>
  <si>
    <t xml:space="preserve">146,2 M€ / 56.263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</si>
</sst>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&gt;=100000]#,##0,\k;[&gt;=10000]#,##0.0,\k;#,##0"/>
    <numFmt numFmtId="166" formatCode="0.0%"/>
    <numFmt numFmtId="167" formatCode="0%"/>
    <numFmt numFmtId="168" formatCode="0"/>
    <numFmt numFmtId="169" formatCode="#,##0"/>
    <numFmt numFmtId="170" formatCode="#,##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C1A42"/>
      <name val="Arial"/>
      <family val="0"/>
      <charset val="1"/>
    </font>
    <font>
      <i val="true"/>
      <sz val="10"/>
      <color rgb="FF4D5C84"/>
      <name val="Arial"/>
      <family val="0"/>
      <charset val="1"/>
    </font>
    <font>
      <b val="true"/>
      <sz val="10"/>
      <color rgb="FF1A2340"/>
      <name val="Arial"/>
      <family val="0"/>
      <charset val="1"/>
    </font>
    <font>
      <sz val="9"/>
      <color rgb="FF4D5C8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D5C84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0"/>
      <color rgb="FF4D5C84"/>
      <name val="Arial"/>
      <family val="0"/>
      <charset val="1"/>
    </font>
    <font>
      <sz val="10"/>
      <color rgb="FF1A2340"/>
      <name val="Arial"/>
      <family val="0"/>
      <charset val="1"/>
    </font>
    <font>
      <sz val="10"/>
      <color rgb="FF4D5C84"/>
      <name val="Arial"/>
      <family val="0"/>
      <charset val="1"/>
    </font>
    <font>
      <b val="true"/>
      <sz val="12"/>
      <color rgb="FF0C1A42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4D5C84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1A234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B03D2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DE8E4"/>
        <bgColor rgb="FFFBF0D3"/>
      </patternFill>
    </fill>
    <fill>
      <patternFill patternType="solid">
        <fgColor rgb="FFFBF0D3"/>
        <bgColor rgb="FFFFF2CC"/>
      </patternFill>
    </fill>
    <fill>
      <patternFill patternType="solid">
        <fgColor rgb="FFFFF2CC"/>
        <bgColor rgb="FFFBF0D3"/>
      </patternFill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0C1A42"/>
        <bgColor rgb="FF1A2340"/>
      </patternFill>
    </fill>
    <fill>
      <patternFill patternType="solid">
        <fgColor rgb="FFEEF2F9"/>
        <bgColor rgb="FFF4F6FB"/>
      </patternFill>
    </fill>
    <fill>
      <patternFill patternType="solid">
        <fgColor rgb="FFE6F2E8"/>
        <bgColor rgb="FFEEF2F9"/>
      </patternFill>
    </fill>
    <fill>
      <patternFill patternType="solid">
        <fgColor rgb="FFF4F6FB"/>
        <bgColor rgb="FFEEF2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6DDEC"/>
      </left>
      <right style="thin">
        <color rgb="FFD6DDEC"/>
      </right>
      <top style="thin">
        <color rgb="FFD6DDEC"/>
      </top>
      <bottom style="thin">
        <color rgb="FFD6DDEC"/>
      </bottom>
      <diagonal/>
    </border>
    <border diagonalUp="false" diagonalDown="false">
      <left style="thin">
        <color rgb="FFD6DDEC"/>
      </left>
      <right style="thin">
        <color rgb="FFD6DDEC"/>
      </right>
      <top style="medium">
        <color rgb="FF0C1A42"/>
      </top>
      <bottom style="thin">
        <color rgb="FFD6DDEC"/>
      </bottom>
      <diagonal/>
    </border>
    <border diagonalUp="false" diagonalDown="false">
      <left/>
      <right/>
      <top/>
      <bottom style="medium">
        <color rgb="FFB8860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8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1" fillId="8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8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20" fillId="8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3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6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EEF2F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DD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2E8"/>
      <rgbColor rgb="FFE7E6E6"/>
      <rgbColor rgb="FFFBF0D3"/>
      <rgbColor rgb="FFF4F6FB"/>
      <rgbColor rgb="FFFF99CC"/>
      <rgbColor rgb="FFCC99FF"/>
      <rgbColor rgb="FFFDE8E4"/>
      <rgbColor rgb="FF3366FF"/>
      <rgbColor rgb="FF33CCCC"/>
      <rgbColor rgb="FF99CC00"/>
      <rgbColor rgb="FFFFCC00"/>
      <rgbColor rgb="FFFF9900"/>
      <rgbColor rgb="FFFF6600"/>
      <rgbColor rgb="FF4D5C84"/>
      <rgbColor rgb="FF969696"/>
      <rgbColor rgb="FF0C1A42"/>
      <rgbColor rgb="FF339966"/>
      <rgbColor rgb="FF003300"/>
      <rgbColor rgb="FF333300"/>
      <rgbColor rgb="FFB03D2C"/>
      <rgbColor rgb="FF993366"/>
      <rgbColor rgb="FF333399"/>
      <rgbColor rgb="FF1A23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1A42"/>
    <pageSetUpPr fitToPage="true"/>
  </sheetPr>
  <dimension ref="A1:I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42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2.35" hidden="false" customHeight="false" outlineLevel="0" collapsed="false">
      <c r="A5" s="5" t="s">
        <v>4</v>
      </c>
      <c r="B5" s="4" t="s">
        <v>5</v>
      </c>
    </row>
    <row r="6" customFormat="false" ht="22.35" hidden="false" customHeight="false" outlineLevel="0" collapsed="false">
      <c r="A6" s="6" t="s">
        <v>6</v>
      </c>
      <c r="B6" s="4" t="s">
        <v>7</v>
      </c>
    </row>
    <row r="7" customFormat="false" ht="15" hidden="false" customHeight="false" outlineLevel="0" collapsed="false">
      <c r="A7" s="7" t="s">
        <v>8</v>
      </c>
      <c r="B7" s="4" t="s">
        <v>9</v>
      </c>
    </row>
    <row r="8" customFormat="false" ht="15" hidden="false" customHeight="false" outlineLevel="0" collapsed="false">
      <c r="A8" s="8" t="s">
        <v>10</v>
      </c>
      <c r="B8" s="4" t="s">
        <v>11</v>
      </c>
    </row>
    <row r="10" customFormat="false" ht="30" hidden="false" customHeight="true" outlineLevel="0" collapsed="false">
      <c r="A10" s="9" t="s">
        <v>12</v>
      </c>
      <c r="B10" s="9" t="s">
        <v>13</v>
      </c>
      <c r="C10" s="9"/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</row>
    <row r="11" customFormat="false" ht="15" hidden="false" customHeight="false" outlineLevel="0" collapsed="false">
      <c r="A11" s="10"/>
      <c r="B11" s="11" t="s">
        <v>20</v>
      </c>
      <c r="C11" s="12" t="s">
        <v>21</v>
      </c>
      <c r="D11" s="13" t="n">
        <f aca="false">D12+D19+D22+D34</f>
        <v>59281939</v>
      </c>
      <c r="E11" s="14" t="n">
        <f aca="false">D11/$D$11</f>
        <v>1</v>
      </c>
      <c r="F11" s="15"/>
      <c r="G11" s="16"/>
      <c r="H11" s="16" t="s">
        <v>22</v>
      </c>
      <c r="I11" s="17"/>
    </row>
    <row r="12" customFormat="false" ht="15" hidden="false" customHeight="false" outlineLevel="0" collapsed="false">
      <c r="A12" s="18" t="s">
        <v>23</v>
      </c>
      <c r="B12" s="19" t="s">
        <v>24</v>
      </c>
      <c r="C12" s="20" t="s">
        <v>21</v>
      </c>
      <c r="D12" s="21" t="n">
        <v>53572213</v>
      </c>
      <c r="E12" s="22" t="n">
        <f aca="false">D12/$D$11</f>
        <v>0.903685235396906</v>
      </c>
      <c r="F12" s="23"/>
      <c r="G12" s="24"/>
      <c r="H12" s="24" t="s">
        <v>25</v>
      </c>
      <c r="I12" s="25"/>
    </row>
    <row r="13" customFormat="false" ht="15" hidden="false" customHeight="false" outlineLevel="0" collapsed="false">
      <c r="A13" s="26" t="s">
        <v>26</v>
      </c>
      <c r="B13" s="27" t="s">
        <v>27</v>
      </c>
      <c r="C13" s="28" t="s">
        <v>21</v>
      </c>
      <c r="D13" s="29" t="n">
        <f aca="false">D12-D16</f>
        <v>51213465</v>
      </c>
      <c r="E13" s="30" t="n">
        <f aca="false">D13/$D$11</f>
        <v>0.863896590831822</v>
      </c>
      <c r="F13" s="31"/>
      <c r="G13" s="32"/>
      <c r="H13" s="32" t="s">
        <v>28</v>
      </c>
      <c r="I13" s="33"/>
    </row>
    <row r="14" customFormat="false" ht="15" hidden="false" customHeight="false" outlineLevel="0" collapsed="false">
      <c r="A14" s="4" t="s">
        <v>29</v>
      </c>
      <c r="B14" s="34" t="s">
        <v>30</v>
      </c>
      <c r="C14" s="35" t="s">
        <v>31</v>
      </c>
      <c r="D14" s="36" t="n">
        <f aca="false">D13-D15</f>
        <v>50057465</v>
      </c>
      <c r="E14" s="37" t="n">
        <f aca="false">D14/$D$11</f>
        <v>0.844396553898144</v>
      </c>
      <c r="F14" s="8" t="s">
        <v>10</v>
      </c>
      <c r="G14" s="38"/>
      <c r="H14" s="38" t="s">
        <v>32</v>
      </c>
      <c r="I14" s="4"/>
    </row>
    <row r="15" customFormat="false" ht="15" hidden="false" customHeight="false" outlineLevel="0" collapsed="false">
      <c r="A15" s="4" t="s">
        <v>33</v>
      </c>
      <c r="B15" s="34" t="s">
        <v>34</v>
      </c>
      <c r="C15" s="35" t="s">
        <v>31</v>
      </c>
      <c r="D15" s="36" t="n">
        <v>1156000</v>
      </c>
      <c r="E15" s="37" t="n">
        <f aca="false">D15/$D$11</f>
        <v>0.0195000369336772</v>
      </c>
      <c r="F15" s="6" t="s">
        <v>6</v>
      </c>
      <c r="G15" s="38" t="s">
        <v>35</v>
      </c>
      <c r="H15" s="38" t="s">
        <v>36</v>
      </c>
      <c r="I15" s="4" t="s">
        <v>37</v>
      </c>
    </row>
    <row r="16" customFormat="false" ht="23.85" hidden="false" customHeight="false" outlineLevel="0" collapsed="false">
      <c r="A16" s="26" t="s">
        <v>38</v>
      </c>
      <c r="B16" s="27" t="s">
        <v>39</v>
      </c>
      <c r="C16" s="28" t="s">
        <v>21</v>
      </c>
      <c r="D16" s="29" t="n">
        <f aca="false">D17+D18</f>
        <v>2358748</v>
      </c>
      <c r="E16" s="30" t="n">
        <f aca="false">D16/$D$11</f>
        <v>0.0397886445650842</v>
      </c>
      <c r="F16" s="31"/>
      <c r="G16" s="32" t="s">
        <v>40</v>
      </c>
      <c r="H16" s="32" t="s">
        <v>41</v>
      </c>
      <c r="I16" s="33"/>
    </row>
    <row r="17" customFormat="false" ht="22.35" hidden="false" customHeight="false" outlineLevel="0" collapsed="false">
      <c r="A17" s="4" t="s">
        <v>42</v>
      </c>
      <c r="B17" s="34" t="s">
        <v>43</v>
      </c>
      <c r="C17" s="35" t="s">
        <v>31</v>
      </c>
      <c r="D17" s="36" t="n">
        <v>2090000</v>
      </c>
      <c r="E17" s="37" t="n">
        <f aca="false">D17/$D$11</f>
        <v>0.0352552570859735</v>
      </c>
      <c r="F17" s="6" t="s">
        <v>6</v>
      </c>
      <c r="G17" s="38" t="s">
        <v>40</v>
      </c>
      <c r="H17" s="38" t="s">
        <v>44</v>
      </c>
      <c r="I17" s="4" t="s">
        <v>45</v>
      </c>
    </row>
    <row r="18" customFormat="false" ht="15" hidden="false" customHeight="false" outlineLevel="0" collapsed="false">
      <c r="A18" s="4" t="s">
        <v>46</v>
      </c>
      <c r="B18" s="34" t="s">
        <v>47</v>
      </c>
      <c r="C18" s="35" t="s">
        <v>31</v>
      </c>
      <c r="D18" s="36" t="n">
        <f aca="false">2358748-D17</f>
        <v>268748</v>
      </c>
      <c r="E18" s="37" t="n">
        <f aca="false">D18/$D$11</f>
        <v>0.00453338747911063</v>
      </c>
      <c r="F18" s="8" t="s">
        <v>10</v>
      </c>
      <c r="G18" s="38"/>
      <c r="H18" s="38" t="s">
        <v>48</v>
      </c>
      <c r="I18" s="4" t="s">
        <v>49</v>
      </c>
    </row>
    <row r="19" customFormat="false" ht="23.85" hidden="false" customHeight="false" outlineLevel="0" collapsed="false">
      <c r="A19" s="18" t="s">
        <v>50</v>
      </c>
      <c r="B19" s="19" t="s">
        <v>51</v>
      </c>
      <c r="C19" s="20" t="s">
        <v>21</v>
      </c>
      <c r="D19" s="21" t="n">
        <f aca="false">D20+D21</f>
        <v>1373870</v>
      </c>
      <c r="E19" s="22" t="n">
        <f aca="false">D19/$D$11</f>
        <v>0.0231751866280892</v>
      </c>
      <c r="F19" s="23"/>
      <c r="G19" s="24" t="s">
        <v>52</v>
      </c>
      <c r="H19" s="24" t="s">
        <v>53</v>
      </c>
      <c r="I19" s="25"/>
    </row>
    <row r="20" customFormat="false" ht="15" hidden="false" customHeight="false" outlineLevel="0" collapsed="false">
      <c r="A20" s="4" t="s">
        <v>54</v>
      </c>
      <c r="B20" s="39" t="s">
        <v>55</v>
      </c>
      <c r="C20" s="35" t="s">
        <v>31</v>
      </c>
      <c r="D20" s="36" t="n">
        <v>1053042</v>
      </c>
      <c r="E20" s="37" t="n">
        <f aca="false">D20/$D$11</f>
        <v>0.0177632853743195</v>
      </c>
      <c r="F20" s="7" t="s">
        <v>8</v>
      </c>
      <c r="G20" s="38" t="s">
        <v>52</v>
      </c>
      <c r="H20" s="38" t="s">
        <v>56</v>
      </c>
      <c r="I20" s="4"/>
    </row>
    <row r="21" customFormat="false" ht="15" hidden="false" customHeight="false" outlineLevel="0" collapsed="false">
      <c r="A21" s="4" t="s">
        <v>57</v>
      </c>
      <c r="B21" s="39" t="s">
        <v>58</v>
      </c>
      <c r="C21" s="35" t="s">
        <v>31</v>
      </c>
      <c r="D21" s="36" t="n">
        <f aca="false">1373870-D20</f>
        <v>320828</v>
      </c>
      <c r="E21" s="37" t="n">
        <f aca="false">D21/$D$11</f>
        <v>0.00541190125376972</v>
      </c>
      <c r="F21" s="8" t="s">
        <v>10</v>
      </c>
      <c r="G21" s="38" t="s">
        <v>52</v>
      </c>
      <c r="H21" s="38" t="s">
        <v>59</v>
      </c>
      <c r="I21" s="4"/>
    </row>
    <row r="22" customFormat="false" ht="23.85" hidden="false" customHeight="false" outlineLevel="0" collapsed="false">
      <c r="A22" s="18" t="s">
        <v>60</v>
      </c>
      <c r="B22" s="19" t="s">
        <v>61</v>
      </c>
      <c r="C22" s="20" t="s">
        <v>21</v>
      </c>
      <c r="D22" s="21" t="n">
        <f aca="false">D23+D33</f>
        <v>3996856</v>
      </c>
      <c r="E22" s="22" t="n">
        <f aca="false">D22/$D$11</f>
        <v>0.0674211415385722</v>
      </c>
      <c r="F22" s="23"/>
      <c r="G22" s="24"/>
      <c r="H22" s="24" t="s">
        <v>62</v>
      </c>
      <c r="I22" s="25"/>
    </row>
    <row r="23" customFormat="false" ht="15" hidden="false" customHeight="false" outlineLevel="0" collapsed="false">
      <c r="A23" s="26" t="s">
        <v>63</v>
      </c>
      <c r="B23" s="27" t="s">
        <v>64</v>
      </c>
      <c r="C23" s="28" t="s">
        <v>21</v>
      </c>
      <c r="D23" s="29" t="n">
        <f aca="false">D24+D25</f>
        <v>3810741</v>
      </c>
      <c r="E23" s="30" t="n">
        <f aca="false">D23/$D$11</f>
        <v>0.0642816524607942</v>
      </c>
      <c r="F23" s="31"/>
      <c r="G23" s="32"/>
      <c r="H23" s="32" t="s">
        <v>65</v>
      </c>
      <c r="I23" s="33" t="s">
        <v>66</v>
      </c>
    </row>
    <row r="24" customFormat="false" ht="15" hidden="false" customHeight="false" outlineLevel="0" collapsed="false">
      <c r="A24" s="4" t="s">
        <v>67</v>
      </c>
      <c r="B24" s="34" t="s">
        <v>68</v>
      </c>
      <c r="C24" s="35" t="s">
        <v>31</v>
      </c>
      <c r="D24" s="36" t="n">
        <f aca="false">ROUND(3810741*0.528,0)</f>
        <v>2012071</v>
      </c>
      <c r="E24" s="37" t="n">
        <f aca="false">D24/$D$11</f>
        <v>0.0339407083159004</v>
      </c>
      <c r="F24" s="5" t="s">
        <v>4</v>
      </c>
      <c r="G24" s="38" t="s">
        <v>69</v>
      </c>
      <c r="H24" s="38" t="s">
        <v>70</v>
      </c>
      <c r="I24" s="4"/>
    </row>
    <row r="25" customFormat="false" ht="15" hidden="false" customHeight="false" outlineLevel="0" collapsed="false">
      <c r="A25" s="26" t="s">
        <v>71</v>
      </c>
      <c r="B25" s="40" t="s">
        <v>72</v>
      </c>
      <c r="C25" s="28" t="s">
        <v>21</v>
      </c>
      <c r="D25" s="29" t="n">
        <f aca="false">D26+D32</f>
        <v>1798670</v>
      </c>
      <c r="E25" s="30" t="n">
        <f aca="false">D25/$D$11</f>
        <v>0.0303409441448938</v>
      </c>
      <c r="F25" s="31"/>
      <c r="G25" s="32"/>
      <c r="H25" s="32" t="s">
        <v>73</v>
      </c>
      <c r="I25" s="33"/>
    </row>
    <row r="26" customFormat="false" ht="15" hidden="false" customHeight="false" outlineLevel="0" collapsed="false">
      <c r="A26" s="26" t="s">
        <v>74</v>
      </c>
      <c r="B26" s="41" t="s">
        <v>75</v>
      </c>
      <c r="C26" s="28" t="s">
        <v>21</v>
      </c>
      <c r="D26" s="29" t="n">
        <f aca="false">D27+D28+D29+D30+D31</f>
        <v>483673</v>
      </c>
      <c r="E26" s="30" t="n">
        <f aca="false">D26/$D$11</f>
        <v>0.00815885931126511</v>
      </c>
      <c r="F26" s="31"/>
      <c r="G26" s="32" t="s">
        <v>76</v>
      </c>
      <c r="H26" s="32" t="s">
        <v>77</v>
      </c>
      <c r="I26" s="33"/>
    </row>
    <row r="27" customFormat="false" ht="15" hidden="false" customHeight="false" outlineLevel="0" collapsed="false">
      <c r="A27" s="4" t="s">
        <v>78</v>
      </c>
      <c r="B27" s="42" t="s">
        <v>79</v>
      </c>
      <c r="C27" s="35" t="s">
        <v>31</v>
      </c>
      <c r="D27" s="36" t="n">
        <v>160600</v>
      </c>
      <c r="E27" s="37" t="n">
        <f aca="false">D27/$D$11</f>
        <v>0.00270908817608007</v>
      </c>
      <c r="F27" s="7" t="s">
        <v>8</v>
      </c>
      <c r="G27" s="38" t="s">
        <v>76</v>
      </c>
      <c r="H27" s="38" t="s">
        <v>80</v>
      </c>
      <c r="I27" s="4" t="s">
        <v>81</v>
      </c>
    </row>
    <row r="28" customFormat="false" ht="15" hidden="false" customHeight="false" outlineLevel="0" collapsed="false">
      <c r="A28" s="4" t="s">
        <v>82</v>
      </c>
      <c r="B28" s="42" t="s">
        <v>83</v>
      </c>
      <c r="C28" s="35" t="s">
        <v>31</v>
      </c>
      <c r="D28" s="36" t="n">
        <v>151000</v>
      </c>
      <c r="E28" s="37" t="n">
        <f aca="false">D28/$D$11</f>
        <v>0.00254715015310144</v>
      </c>
      <c r="F28" s="5" t="s">
        <v>4</v>
      </c>
      <c r="G28" s="38" t="s">
        <v>76</v>
      </c>
      <c r="H28" s="38" t="s">
        <v>80</v>
      </c>
      <c r="I28" s="4"/>
    </row>
    <row r="29" customFormat="false" ht="15" hidden="false" customHeight="false" outlineLevel="0" collapsed="false">
      <c r="A29" s="4" t="s">
        <v>84</v>
      </c>
      <c r="B29" s="42" t="s">
        <v>85</v>
      </c>
      <c r="C29" s="35" t="s">
        <v>31</v>
      </c>
      <c r="D29" s="36" t="n">
        <v>59744</v>
      </c>
      <c r="E29" s="37" t="n">
        <f aca="false">D29/$D$11</f>
        <v>0.00100779429633703</v>
      </c>
      <c r="F29" s="5" t="s">
        <v>4</v>
      </c>
      <c r="G29" s="38" t="s">
        <v>76</v>
      </c>
      <c r="H29" s="38" t="s">
        <v>80</v>
      </c>
      <c r="I29" s="4"/>
    </row>
    <row r="30" customFormat="false" ht="15" hidden="false" customHeight="false" outlineLevel="0" collapsed="false">
      <c r="A30" s="4" t="s">
        <v>86</v>
      </c>
      <c r="B30" s="42" t="s">
        <v>87</v>
      </c>
      <c r="C30" s="35" t="s">
        <v>31</v>
      </c>
      <c r="D30" s="36" t="n">
        <v>54771</v>
      </c>
      <c r="E30" s="37" t="n">
        <f aca="false">D30/$D$11</f>
        <v>0.00092390702672529</v>
      </c>
      <c r="F30" s="5" t="s">
        <v>4</v>
      </c>
      <c r="G30" s="38" t="s">
        <v>76</v>
      </c>
      <c r="H30" s="38" t="s">
        <v>80</v>
      </c>
      <c r="I30" s="4"/>
    </row>
    <row r="31" customFormat="false" ht="15" hidden="false" customHeight="false" outlineLevel="0" collapsed="false">
      <c r="A31" s="4" t="s">
        <v>88</v>
      </c>
      <c r="B31" s="42" t="s">
        <v>89</v>
      </c>
      <c r="C31" s="35" t="s">
        <v>31</v>
      </c>
      <c r="D31" s="36" t="n">
        <f aca="false">483673-D27-D28-D29-D30</f>
        <v>57558</v>
      </c>
      <c r="E31" s="37" t="n">
        <f aca="false">D31/$D$11</f>
        <v>0.000970919659021275</v>
      </c>
      <c r="F31" s="5" t="s">
        <v>4</v>
      </c>
      <c r="G31" s="38" t="s">
        <v>76</v>
      </c>
      <c r="H31" s="38" t="s">
        <v>90</v>
      </c>
      <c r="I31" s="4"/>
    </row>
    <row r="32" customFormat="false" ht="15" hidden="false" customHeight="false" outlineLevel="0" collapsed="false">
      <c r="A32" s="4" t="s">
        <v>91</v>
      </c>
      <c r="B32" s="43" t="s">
        <v>92</v>
      </c>
      <c r="C32" s="35" t="s">
        <v>31</v>
      </c>
      <c r="D32" s="36" t="n">
        <f aca="false">3810741-D24-D26</f>
        <v>1314997</v>
      </c>
      <c r="E32" s="37" t="n">
        <f aca="false">D32/$D$11</f>
        <v>0.0221820848336287</v>
      </c>
      <c r="F32" s="5" t="s">
        <v>4</v>
      </c>
      <c r="G32" s="38" t="s">
        <v>93</v>
      </c>
      <c r="H32" s="38" t="s">
        <v>94</v>
      </c>
      <c r="I32" s="4"/>
    </row>
    <row r="33" customFormat="false" ht="15" hidden="false" customHeight="false" outlineLevel="0" collapsed="false">
      <c r="A33" s="4" t="s">
        <v>95</v>
      </c>
      <c r="B33" s="39" t="s">
        <v>96</v>
      </c>
      <c r="C33" s="35" t="s">
        <v>31</v>
      </c>
      <c r="D33" s="36" t="n">
        <f aca="false">3996856-D23</f>
        <v>186115</v>
      </c>
      <c r="E33" s="37" t="n">
        <f aca="false">D33/$D$11</f>
        <v>0.00313948907777797</v>
      </c>
      <c r="F33" s="44"/>
      <c r="G33" s="38"/>
      <c r="H33" s="38" t="s">
        <v>97</v>
      </c>
      <c r="I33" s="4" t="s">
        <v>98</v>
      </c>
    </row>
    <row r="34" customFormat="false" ht="15" hidden="false" customHeight="false" outlineLevel="0" collapsed="false">
      <c r="A34" s="18" t="s">
        <v>99</v>
      </c>
      <c r="B34" s="19" t="s">
        <v>100</v>
      </c>
      <c r="C34" s="20" t="s">
        <v>21</v>
      </c>
      <c r="D34" s="21" t="n">
        <v>339000</v>
      </c>
      <c r="E34" s="22" t="n">
        <f aca="false">D34/$D$11</f>
        <v>0.00571843643643303</v>
      </c>
      <c r="F34" s="45" t="s">
        <v>2</v>
      </c>
      <c r="G34" s="24" t="s">
        <v>101</v>
      </c>
      <c r="H34" s="24" t="s">
        <v>102</v>
      </c>
      <c r="I34" s="25"/>
    </row>
    <row r="36" customFormat="false" ht="21.75" hidden="false" customHeight="true" outlineLevel="0" collapsed="false">
      <c r="A36" s="46" t="s">
        <v>103</v>
      </c>
      <c r="B36" s="47"/>
      <c r="C36" s="47"/>
      <c r="D36" s="47"/>
      <c r="E36" s="47"/>
      <c r="F36" s="47"/>
      <c r="G36" s="47"/>
      <c r="H36" s="47"/>
      <c r="I36" s="47"/>
    </row>
    <row r="37" customFormat="false" ht="30" hidden="false" customHeight="true" outlineLevel="0" collapsed="false">
      <c r="A37" s="9"/>
      <c r="B37" s="9" t="s">
        <v>104</v>
      </c>
      <c r="C37" s="9"/>
      <c r="D37" s="9" t="s">
        <v>14</v>
      </c>
      <c r="E37" s="9" t="s">
        <v>105</v>
      </c>
      <c r="F37" s="9" t="s">
        <v>16</v>
      </c>
      <c r="G37" s="9" t="s">
        <v>17</v>
      </c>
      <c r="H37" s="9" t="s">
        <v>18</v>
      </c>
      <c r="I37" s="9" t="s">
        <v>19</v>
      </c>
    </row>
    <row r="38" customFormat="false" ht="15" hidden="false" customHeight="false" outlineLevel="0" collapsed="false">
      <c r="A38" s="4" t="s">
        <v>106</v>
      </c>
      <c r="B38" s="38" t="s">
        <v>107</v>
      </c>
      <c r="C38" s="38"/>
      <c r="D38" s="36" t="n">
        <v>82505</v>
      </c>
      <c r="E38" s="37" t="n">
        <f aca="false">D38/$D$39</f>
        <v>3.87438365813571</v>
      </c>
      <c r="F38" s="3" t="s">
        <v>2</v>
      </c>
      <c r="G38" s="38" t="s">
        <v>101</v>
      </c>
      <c r="H38" s="38" t="s">
        <v>108</v>
      </c>
      <c r="I38" s="4"/>
    </row>
    <row r="39" customFormat="false" ht="15" hidden="false" customHeight="false" outlineLevel="0" collapsed="false">
      <c r="A39" s="48" t="s">
        <v>109</v>
      </c>
      <c r="B39" s="49" t="s">
        <v>110</v>
      </c>
      <c r="C39" s="50"/>
      <c r="D39" s="51" t="n">
        <v>21295</v>
      </c>
      <c r="E39" s="52" t="n">
        <f aca="false">D39/$D$39</f>
        <v>1</v>
      </c>
      <c r="F39" s="3" t="s">
        <v>2</v>
      </c>
      <c r="G39" s="50" t="s">
        <v>101</v>
      </c>
      <c r="H39" s="50" t="s">
        <v>111</v>
      </c>
      <c r="I39" s="48"/>
    </row>
    <row r="40" customFormat="false" ht="15" hidden="false" customHeight="false" outlineLevel="0" collapsed="false">
      <c r="A40" s="48" t="s">
        <v>112</v>
      </c>
      <c r="B40" s="49" t="s">
        <v>113</v>
      </c>
      <c r="C40" s="50"/>
      <c r="D40" s="51" t="n">
        <f aca="false">D41+D42</f>
        <v>4780</v>
      </c>
      <c r="E40" s="52" t="n">
        <f aca="false">D40/$D$39</f>
        <v>0.224465837050951</v>
      </c>
      <c r="F40" s="3" t="s">
        <v>2</v>
      </c>
      <c r="G40" s="50" t="s">
        <v>101</v>
      </c>
      <c r="H40" s="50" t="s">
        <v>114</v>
      </c>
      <c r="I40" s="48" t="s">
        <v>115</v>
      </c>
    </row>
    <row r="41" customFormat="false" ht="15" hidden="false" customHeight="false" outlineLevel="0" collapsed="false">
      <c r="A41" s="4" t="s">
        <v>116</v>
      </c>
      <c r="B41" s="39" t="s">
        <v>117</v>
      </c>
      <c r="C41" s="38"/>
      <c r="D41" s="36" t="n">
        <v>1732</v>
      </c>
      <c r="E41" s="37" t="n">
        <f aca="false">D41/$D$39</f>
        <v>0.0813336463958676</v>
      </c>
      <c r="F41" s="3" t="s">
        <v>2</v>
      </c>
      <c r="G41" s="38" t="s">
        <v>101</v>
      </c>
      <c r="H41" s="38" t="s">
        <v>118</v>
      </c>
      <c r="I41" s="4" t="s">
        <v>119</v>
      </c>
    </row>
    <row r="42" customFormat="false" ht="15" hidden="false" customHeight="false" outlineLevel="0" collapsed="false">
      <c r="A42" s="4" t="s">
        <v>120</v>
      </c>
      <c r="B42" s="39" t="s">
        <v>121</v>
      </c>
      <c r="C42" s="38"/>
      <c r="D42" s="36" t="n">
        <f aca="false">4780-D41</f>
        <v>3048</v>
      </c>
      <c r="E42" s="37" t="n">
        <f aca="false">D42/$D$39</f>
        <v>0.143132190655083</v>
      </c>
      <c r="F42" s="3" t="s">
        <v>2</v>
      </c>
      <c r="G42" s="38" t="s">
        <v>101</v>
      </c>
      <c r="H42" s="38" t="s">
        <v>22</v>
      </c>
      <c r="I42" s="4"/>
    </row>
    <row r="43" customFormat="false" ht="23.85" hidden="false" customHeight="false" outlineLevel="0" collapsed="false">
      <c r="A43" s="4" t="s">
        <v>122</v>
      </c>
      <c r="B43" s="38" t="s">
        <v>123</v>
      </c>
      <c r="C43" s="38"/>
      <c r="D43" s="36" t="n">
        <v>717</v>
      </c>
      <c r="E43" s="37" t="n">
        <f aca="false">D43/$D$39</f>
        <v>0.0336698755576426</v>
      </c>
      <c r="F43" s="3" t="s">
        <v>2</v>
      </c>
      <c r="G43" s="38" t="s">
        <v>101</v>
      </c>
      <c r="H43" s="38" t="s">
        <v>124</v>
      </c>
      <c r="I43" s="4" t="s">
        <v>125</v>
      </c>
    </row>
    <row r="45" customFormat="false" ht="21.75" hidden="false" customHeight="true" outlineLevel="0" collapsed="false">
      <c r="A45" s="46" t="s">
        <v>126</v>
      </c>
      <c r="B45" s="47"/>
      <c r="C45" s="47"/>
      <c r="D45" s="47"/>
      <c r="E45" s="47"/>
      <c r="F45" s="47"/>
      <c r="G45" s="47"/>
      <c r="H45" s="47"/>
      <c r="I45" s="47"/>
    </row>
    <row r="46" customFormat="false" ht="30" hidden="false" customHeight="true" outlineLevel="0" collapsed="false">
      <c r="A46" s="9"/>
      <c r="B46" s="9" t="s">
        <v>13</v>
      </c>
      <c r="C46" s="9"/>
      <c r="D46" s="9" t="s">
        <v>14</v>
      </c>
      <c r="E46" s="9" t="s">
        <v>15</v>
      </c>
      <c r="F46" s="9" t="s">
        <v>16</v>
      </c>
      <c r="G46" s="9" t="s">
        <v>17</v>
      </c>
      <c r="H46" s="9" t="s">
        <v>18</v>
      </c>
      <c r="I46" s="9" t="s">
        <v>19</v>
      </c>
    </row>
    <row r="47" customFormat="false" ht="15" hidden="false" customHeight="false" outlineLevel="0" collapsed="false">
      <c r="A47" s="4" t="s">
        <v>127</v>
      </c>
      <c r="B47" s="38" t="s">
        <v>128</v>
      </c>
      <c r="C47" s="38"/>
      <c r="D47" s="36" t="n">
        <v>870000</v>
      </c>
      <c r="E47" s="37" t="n">
        <f aca="false">D47/$D$11</f>
        <v>0.0146756333324387</v>
      </c>
      <c r="F47" s="5" t="s">
        <v>4</v>
      </c>
      <c r="G47" s="38" t="s">
        <v>35</v>
      </c>
      <c r="H47" s="38" t="s">
        <v>129</v>
      </c>
      <c r="I47" s="4" t="s">
        <v>130</v>
      </c>
    </row>
    <row r="48" customFormat="false" ht="15" hidden="false" customHeight="false" outlineLevel="0" collapsed="false">
      <c r="A48" s="4" t="s">
        <v>131</v>
      </c>
      <c r="B48" s="38" t="s">
        <v>132</v>
      </c>
      <c r="C48" s="38"/>
      <c r="D48" s="36" t="n">
        <v>19816</v>
      </c>
      <c r="E48" s="37" t="n">
        <f aca="false">D48/$D$11</f>
        <v>0.000334267069098398</v>
      </c>
      <c r="F48" s="3" t="s">
        <v>2</v>
      </c>
      <c r="G48" s="38" t="s">
        <v>133</v>
      </c>
      <c r="H48" s="38" t="s">
        <v>134</v>
      </c>
      <c r="I4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E8E4"/>
    <pageSetUpPr fitToPage="tru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8" min="6" style="0" width="34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30" hidden="false" customHeight="true" outlineLevel="0" collapsed="false">
      <c r="A4" s="9" t="s">
        <v>12</v>
      </c>
      <c r="B4" s="9" t="s">
        <v>137</v>
      </c>
      <c r="C4" s="9"/>
      <c r="D4" s="9" t="s">
        <v>14</v>
      </c>
      <c r="E4" s="9" t="s">
        <v>16</v>
      </c>
      <c r="F4" s="9" t="s">
        <v>138</v>
      </c>
      <c r="G4" s="9" t="s">
        <v>139</v>
      </c>
      <c r="H4" s="9" t="s">
        <v>140</v>
      </c>
      <c r="I4" s="9" t="s">
        <v>141</v>
      </c>
    </row>
    <row r="5" customFormat="false" ht="30" hidden="false" customHeight="true" outlineLevel="0" collapsed="false">
      <c r="A5" s="10" t="s">
        <v>142</v>
      </c>
      <c r="B5" s="11" t="s">
        <v>143</v>
      </c>
      <c r="C5" s="12" t="s">
        <v>21</v>
      </c>
      <c r="D5" s="13" t="n">
        <f aca="false">D6</f>
        <v>339000</v>
      </c>
      <c r="E5" s="45" t="s">
        <v>2</v>
      </c>
      <c r="F5" s="16"/>
      <c r="G5" s="16"/>
      <c r="H5" s="16"/>
      <c r="I5" s="17" t="s">
        <v>144</v>
      </c>
    </row>
    <row r="6" customFormat="false" ht="60" hidden="false" customHeight="true" outlineLevel="0" collapsed="false">
      <c r="A6" s="18" t="s">
        <v>23</v>
      </c>
      <c r="B6" s="19" t="s">
        <v>145</v>
      </c>
      <c r="C6" s="20" t="s">
        <v>21</v>
      </c>
      <c r="D6" s="53" t="n">
        <f aca="false">'Funnel Italia'!D34</f>
        <v>339000</v>
      </c>
      <c r="E6" s="45" t="s">
        <v>2</v>
      </c>
      <c r="F6" s="24" t="s">
        <v>146</v>
      </c>
      <c r="G6" s="24" t="s">
        <v>147</v>
      </c>
      <c r="H6" s="24" t="s">
        <v>148</v>
      </c>
      <c r="I6" s="25" t="s">
        <v>102</v>
      </c>
    </row>
    <row r="7" customFormat="false" ht="30" hidden="false" customHeight="true" outlineLevel="0" collapsed="false">
      <c r="A7" s="4" t="s">
        <v>26</v>
      </c>
      <c r="B7" s="39" t="s">
        <v>149</v>
      </c>
      <c r="C7" s="35" t="s">
        <v>31</v>
      </c>
      <c r="D7" s="38" t="s">
        <v>150</v>
      </c>
      <c r="E7" s="3" t="s">
        <v>2</v>
      </c>
      <c r="F7" s="38"/>
      <c r="G7" s="38"/>
      <c r="H7" s="38"/>
      <c r="I7" s="4" t="s">
        <v>151</v>
      </c>
    </row>
    <row r="8" customFormat="false" ht="45" hidden="false" customHeight="true" outlineLevel="0" collapsed="false">
      <c r="A8" s="18" t="s">
        <v>152</v>
      </c>
      <c r="B8" s="19" t="s">
        <v>153</v>
      </c>
      <c r="C8" s="20" t="s">
        <v>21</v>
      </c>
      <c r="D8" s="21" t="n">
        <f aca="false">D9+D10</f>
        <v>19816</v>
      </c>
      <c r="E8" s="45" t="s">
        <v>2</v>
      </c>
      <c r="F8" s="24" t="s">
        <v>154</v>
      </c>
      <c r="G8" s="24" t="s">
        <v>155</v>
      </c>
      <c r="H8" s="24" t="s">
        <v>156</v>
      </c>
      <c r="I8" s="25" t="s">
        <v>134</v>
      </c>
    </row>
    <row r="9" customFormat="false" ht="45" hidden="false" customHeight="true" outlineLevel="0" collapsed="false">
      <c r="A9" s="4" t="s">
        <v>127</v>
      </c>
      <c r="B9" s="39" t="s">
        <v>157</v>
      </c>
      <c r="C9" s="35" t="s">
        <v>31</v>
      </c>
      <c r="D9" s="36" t="n">
        <v>2819</v>
      </c>
      <c r="E9" s="3" t="s">
        <v>2</v>
      </c>
      <c r="F9" s="38" t="s">
        <v>158</v>
      </c>
      <c r="G9" s="38" t="s">
        <v>159</v>
      </c>
      <c r="H9" s="38" t="s">
        <v>160</v>
      </c>
      <c r="I9" s="4" t="s">
        <v>161</v>
      </c>
    </row>
    <row r="10" customFormat="false" ht="30" hidden="false" customHeight="true" outlineLevel="0" collapsed="false">
      <c r="A10" s="18" t="s">
        <v>131</v>
      </c>
      <c r="B10" s="54" t="s">
        <v>162</v>
      </c>
      <c r="C10" s="20" t="s">
        <v>21</v>
      </c>
      <c r="D10" s="21" t="n">
        <f aca="false">D11+D12+D13</f>
        <v>16997</v>
      </c>
      <c r="E10" s="45" t="s">
        <v>2</v>
      </c>
      <c r="F10" s="24"/>
      <c r="G10" s="24"/>
      <c r="H10" s="24"/>
      <c r="I10" s="25" t="s">
        <v>22</v>
      </c>
    </row>
    <row r="11" customFormat="false" ht="30" hidden="false" customHeight="true" outlineLevel="0" collapsed="false">
      <c r="A11" s="4" t="s">
        <v>163</v>
      </c>
      <c r="B11" s="34" t="s">
        <v>164</v>
      </c>
      <c r="C11" s="35" t="s">
        <v>31</v>
      </c>
      <c r="D11" s="36" t="n">
        <v>4358</v>
      </c>
      <c r="E11" s="3" t="s">
        <v>2</v>
      </c>
      <c r="F11" s="38" t="s">
        <v>165</v>
      </c>
      <c r="G11" s="38" t="s">
        <v>166</v>
      </c>
      <c r="H11" s="38" t="s">
        <v>160</v>
      </c>
      <c r="I11" s="4" t="s">
        <v>161</v>
      </c>
    </row>
    <row r="12" customFormat="false" ht="30" hidden="false" customHeight="true" outlineLevel="0" collapsed="false">
      <c r="A12" s="4" t="s">
        <v>167</v>
      </c>
      <c r="B12" s="34" t="s">
        <v>168</v>
      </c>
      <c r="C12" s="35" t="s">
        <v>31</v>
      </c>
      <c r="D12" s="36" t="n">
        <v>2186</v>
      </c>
      <c r="E12" s="3" t="s">
        <v>2</v>
      </c>
      <c r="F12" s="38" t="s">
        <v>165</v>
      </c>
      <c r="G12" s="38" t="s">
        <v>169</v>
      </c>
      <c r="H12" s="38" t="s">
        <v>160</v>
      </c>
      <c r="I12" s="4" t="s">
        <v>161</v>
      </c>
    </row>
    <row r="13" customFormat="false" ht="30" hidden="false" customHeight="true" outlineLevel="0" collapsed="false">
      <c r="A13" s="4" t="s">
        <v>170</v>
      </c>
      <c r="B13" s="34" t="s">
        <v>171</v>
      </c>
      <c r="C13" s="35" t="s">
        <v>31</v>
      </c>
      <c r="D13" s="36" t="n">
        <f aca="false">19816-D9-D11-D12</f>
        <v>10453</v>
      </c>
      <c r="E13" s="3" t="s">
        <v>2</v>
      </c>
      <c r="F13" s="38" t="s">
        <v>165</v>
      </c>
      <c r="G13" s="38" t="s">
        <v>172</v>
      </c>
      <c r="H13" s="38" t="s">
        <v>160</v>
      </c>
      <c r="I13" s="4" t="s">
        <v>22</v>
      </c>
    </row>
    <row r="14" customFormat="false" ht="30" hidden="false" customHeight="true" outlineLevel="0" collapsed="false">
      <c r="A14" s="4" t="s">
        <v>173</v>
      </c>
      <c r="B14" s="38" t="s">
        <v>174</v>
      </c>
      <c r="C14" s="35"/>
      <c r="D14" s="36" t="n">
        <v>29000</v>
      </c>
      <c r="E14" s="3" t="s">
        <v>2</v>
      </c>
      <c r="F14" s="38" t="s">
        <v>175</v>
      </c>
      <c r="G14" s="38" t="s">
        <v>176</v>
      </c>
      <c r="H14" s="38" t="s">
        <v>160</v>
      </c>
      <c r="I14" s="4" t="s">
        <v>177</v>
      </c>
    </row>
    <row r="16" customFormat="false" ht="21.75" hidden="false" customHeight="true" outlineLevel="0" collapsed="false">
      <c r="A16" s="46" t="s">
        <v>178</v>
      </c>
      <c r="B16" s="47"/>
      <c r="C16" s="47"/>
      <c r="D16" s="47"/>
      <c r="E16" s="47"/>
      <c r="F16" s="47"/>
      <c r="G16" s="47"/>
      <c r="H16" s="47"/>
      <c r="I16" s="47"/>
    </row>
    <row r="17" customFormat="false" ht="30" hidden="false" customHeight="true" outlineLevel="0" collapsed="false">
      <c r="A17" s="9" t="s">
        <v>12</v>
      </c>
      <c r="B17" s="9" t="s">
        <v>137</v>
      </c>
      <c r="C17" s="9"/>
      <c r="D17" s="9" t="s">
        <v>14</v>
      </c>
      <c r="E17" s="9" t="s">
        <v>16</v>
      </c>
      <c r="F17" s="9" t="s">
        <v>138</v>
      </c>
      <c r="G17" s="9" t="s">
        <v>139</v>
      </c>
      <c r="H17" s="9" t="s">
        <v>140</v>
      </c>
      <c r="I17" s="9" t="s">
        <v>141</v>
      </c>
    </row>
    <row r="18" customFormat="false" ht="30" hidden="false" customHeight="true" outlineLevel="0" collapsed="false">
      <c r="A18" s="4" t="s">
        <v>106</v>
      </c>
      <c r="B18" s="38" t="s">
        <v>107</v>
      </c>
      <c r="C18" s="35"/>
      <c r="D18" s="55" t="n">
        <f aca="false">'Funnel Italia'!D38</f>
        <v>82505</v>
      </c>
      <c r="E18" s="3" t="s">
        <v>2</v>
      </c>
      <c r="F18" s="38" t="s">
        <v>179</v>
      </c>
      <c r="G18" s="38" t="s">
        <v>180</v>
      </c>
      <c r="H18" s="38" t="s">
        <v>160</v>
      </c>
      <c r="I18" s="4" t="s">
        <v>181</v>
      </c>
    </row>
    <row r="19" customFormat="false" ht="30" hidden="false" customHeight="true" outlineLevel="0" collapsed="false">
      <c r="A19" s="4" t="s">
        <v>109</v>
      </c>
      <c r="B19" s="38" t="s">
        <v>110</v>
      </c>
      <c r="C19" s="35"/>
      <c r="D19" s="55" t="n">
        <f aca="false">'Funnel Italia'!D39</f>
        <v>21295</v>
      </c>
      <c r="E19" s="3" t="s">
        <v>2</v>
      </c>
      <c r="F19" s="38" t="s">
        <v>182</v>
      </c>
      <c r="G19" s="38" t="s">
        <v>183</v>
      </c>
      <c r="H19" s="38" t="s">
        <v>160</v>
      </c>
      <c r="I19" s="4" t="s">
        <v>181</v>
      </c>
    </row>
    <row r="20" customFormat="false" ht="30" hidden="false" customHeight="true" outlineLevel="0" collapsed="false">
      <c r="A20" s="18" t="s">
        <v>112</v>
      </c>
      <c r="B20" s="19" t="s">
        <v>184</v>
      </c>
      <c r="C20" s="20" t="s">
        <v>21</v>
      </c>
      <c r="D20" s="21" t="n">
        <f aca="false">D21+D22</f>
        <v>4780</v>
      </c>
      <c r="E20" s="45" t="s">
        <v>2</v>
      </c>
      <c r="F20" s="24"/>
      <c r="G20" s="24"/>
      <c r="H20" s="24"/>
      <c r="I20" s="25" t="s">
        <v>181</v>
      </c>
    </row>
    <row r="21" customFormat="false" ht="30" hidden="false" customHeight="true" outlineLevel="0" collapsed="false">
      <c r="A21" s="4" t="s">
        <v>116</v>
      </c>
      <c r="B21" s="39" t="s">
        <v>185</v>
      </c>
      <c r="C21" s="35" t="s">
        <v>31</v>
      </c>
      <c r="D21" s="55" t="n">
        <f aca="false">'Funnel Italia'!D41</f>
        <v>1732</v>
      </c>
      <c r="E21" s="3" t="s">
        <v>2</v>
      </c>
      <c r="F21" s="38" t="s">
        <v>186</v>
      </c>
      <c r="G21" s="38" t="s">
        <v>187</v>
      </c>
      <c r="H21" s="38" t="s">
        <v>160</v>
      </c>
      <c r="I21" s="4" t="s">
        <v>188</v>
      </c>
    </row>
    <row r="22" customFormat="false" ht="30" hidden="false" customHeight="true" outlineLevel="0" collapsed="false">
      <c r="A22" s="4" t="s">
        <v>120</v>
      </c>
      <c r="B22" s="39" t="s">
        <v>189</v>
      </c>
      <c r="C22" s="35" t="s">
        <v>31</v>
      </c>
      <c r="D22" s="55" t="n">
        <f aca="false">'Funnel Italia'!D42</f>
        <v>3048</v>
      </c>
      <c r="E22" s="3" t="s">
        <v>2</v>
      </c>
      <c r="F22" s="38" t="s">
        <v>190</v>
      </c>
      <c r="G22" s="38"/>
      <c r="H22" s="38" t="s">
        <v>160</v>
      </c>
      <c r="I22" s="4" t="s">
        <v>22</v>
      </c>
    </row>
    <row r="23" customFormat="false" ht="30" hidden="false" customHeight="true" outlineLevel="0" collapsed="false">
      <c r="A23" s="4" t="s">
        <v>122</v>
      </c>
      <c r="B23" s="38" t="s">
        <v>191</v>
      </c>
      <c r="C23" s="35"/>
      <c r="D23" s="55" t="n">
        <f aca="false">'Funnel Italia'!D43</f>
        <v>717</v>
      </c>
      <c r="E23" s="3" t="s">
        <v>2</v>
      </c>
      <c r="F23" s="38" t="s">
        <v>192</v>
      </c>
      <c r="G23" s="38" t="s">
        <v>193</v>
      </c>
      <c r="H23" s="38" t="s">
        <v>194</v>
      </c>
      <c r="I23" s="4" t="s">
        <v>188</v>
      </c>
    </row>
    <row r="24" customFormat="false" ht="30" hidden="false" customHeight="true" outlineLevel="0" collapsed="false">
      <c r="A24" s="4" t="s">
        <v>195</v>
      </c>
      <c r="B24" s="38" t="s">
        <v>196</v>
      </c>
      <c r="C24" s="35"/>
      <c r="D24" s="36" t="n">
        <v>50380</v>
      </c>
      <c r="E24" s="3" t="s">
        <v>2</v>
      </c>
      <c r="F24" s="38" t="s">
        <v>197</v>
      </c>
      <c r="G24" s="38" t="s">
        <v>198</v>
      </c>
      <c r="H24" s="38" t="s">
        <v>160</v>
      </c>
      <c r="I24" s="4" t="s">
        <v>199</v>
      </c>
    </row>
    <row r="25" customFormat="false" ht="30" hidden="false" customHeight="true" outlineLevel="0" collapsed="false">
      <c r="A25" s="4" t="s">
        <v>200</v>
      </c>
      <c r="B25" s="38" t="s">
        <v>201</v>
      </c>
      <c r="C25" s="35"/>
      <c r="D25" s="38"/>
      <c r="E25" s="44"/>
      <c r="F25" s="38"/>
      <c r="G25" s="38"/>
      <c r="H25" s="38"/>
      <c r="I25" s="4" t="s">
        <v>188</v>
      </c>
    </row>
    <row r="27" customFormat="false" ht="27.75" hidden="false" customHeight="true" outlineLevel="0" collapsed="false">
      <c r="A27" s="56" t="s">
        <v>202</v>
      </c>
      <c r="B27" s="56"/>
      <c r="C27" s="56"/>
      <c r="D27" s="56"/>
      <c r="E27" s="56"/>
      <c r="F27" s="56"/>
      <c r="G27" s="56"/>
      <c r="H27" s="56"/>
      <c r="I27" s="56"/>
    </row>
    <row r="28" customFormat="false" ht="15" hidden="false" customHeight="false" outlineLevel="0" collapsed="false">
      <c r="A28" s="57" t="s">
        <v>203</v>
      </c>
    </row>
  </sheetData>
  <mergeCells count="1"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F0D3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8" min="6" style="0" width="34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30" hidden="false" customHeight="true" outlineLevel="0" collapsed="false">
      <c r="A4" s="9" t="s">
        <v>12</v>
      </c>
      <c r="B4" s="9" t="s">
        <v>137</v>
      </c>
      <c r="C4" s="9"/>
      <c r="D4" s="9" t="s">
        <v>14</v>
      </c>
      <c r="E4" s="9" t="s">
        <v>16</v>
      </c>
      <c r="F4" s="9" t="s">
        <v>138</v>
      </c>
      <c r="G4" s="9" t="s">
        <v>139</v>
      </c>
      <c r="H4" s="9" t="s">
        <v>140</v>
      </c>
      <c r="I4" s="9" t="s">
        <v>141</v>
      </c>
    </row>
    <row r="5" customFormat="false" ht="30" hidden="false" customHeight="true" outlineLevel="0" collapsed="false">
      <c r="A5" s="10" t="s">
        <v>142</v>
      </c>
      <c r="B5" s="11" t="s">
        <v>206</v>
      </c>
      <c r="C5" s="12" t="s">
        <v>21</v>
      </c>
      <c r="D5" s="13" t="n">
        <f aca="false">D6+D10+D12</f>
        <v>3650141</v>
      </c>
      <c r="E5" s="15" t="s">
        <v>4</v>
      </c>
      <c r="F5" s="16"/>
      <c r="G5" s="16"/>
      <c r="H5" s="16"/>
      <c r="I5" s="17" t="s">
        <v>144</v>
      </c>
    </row>
    <row r="6" customFormat="false" ht="60" hidden="false" customHeight="true" outlineLevel="0" collapsed="false">
      <c r="A6" s="18" t="s">
        <v>23</v>
      </c>
      <c r="B6" s="19" t="s">
        <v>69</v>
      </c>
      <c r="C6" s="20" t="s">
        <v>21</v>
      </c>
      <c r="D6" s="53" t="n">
        <f aca="false">'Funnel Italia'!D24</f>
        <v>2012071</v>
      </c>
      <c r="E6" s="15" t="s">
        <v>4</v>
      </c>
      <c r="F6" s="24" t="s">
        <v>207</v>
      </c>
      <c r="G6" s="24" t="s">
        <v>208</v>
      </c>
      <c r="H6" s="24" t="s">
        <v>209</v>
      </c>
      <c r="I6" s="25" t="s">
        <v>210</v>
      </c>
    </row>
    <row r="7" customFormat="false" ht="30" hidden="false" customHeight="true" outlineLevel="0" collapsed="false">
      <c r="A7" s="4" t="s">
        <v>26</v>
      </c>
      <c r="B7" s="39" t="s">
        <v>149</v>
      </c>
      <c r="C7" s="35" t="s">
        <v>31</v>
      </c>
      <c r="D7" s="38" t="s">
        <v>150</v>
      </c>
      <c r="E7" s="5" t="s">
        <v>4</v>
      </c>
      <c r="F7" s="38"/>
      <c r="G7" s="38"/>
      <c r="H7" s="38"/>
      <c r="I7" s="4" t="s">
        <v>211</v>
      </c>
    </row>
    <row r="8" customFormat="false" ht="30" hidden="false" customHeight="true" outlineLevel="0" collapsed="false">
      <c r="A8" s="4" t="s">
        <v>38</v>
      </c>
      <c r="B8" s="39" t="s">
        <v>212</v>
      </c>
      <c r="C8" s="35" t="s">
        <v>31</v>
      </c>
      <c r="D8" s="38" t="s">
        <v>150</v>
      </c>
      <c r="E8" s="3" t="s">
        <v>2</v>
      </c>
      <c r="F8" s="38" t="s">
        <v>213</v>
      </c>
      <c r="G8" s="38" t="s">
        <v>214</v>
      </c>
      <c r="H8" s="38" t="s">
        <v>215</v>
      </c>
      <c r="I8" s="4" t="s">
        <v>216</v>
      </c>
    </row>
    <row r="9" customFormat="false" ht="30" hidden="false" customHeight="true" outlineLevel="0" collapsed="false">
      <c r="A9" s="4" t="s">
        <v>217</v>
      </c>
      <c r="B9" s="39" t="s">
        <v>218</v>
      </c>
      <c r="C9" s="35" t="s">
        <v>31</v>
      </c>
      <c r="D9" s="38" t="s">
        <v>150</v>
      </c>
      <c r="E9" s="5" t="s">
        <v>4</v>
      </c>
      <c r="F9" s="38" t="s">
        <v>219</v>
      </c>
      <c r="G9" s="38" t="s">
        <v>220</v>
      </c>
      <c r="H9" s="38" t="s">
        <v>221</v>
      </c>
      <c r="I9" s="4" t="s">
        <v>222</v>
      </c>
    </row>
    <row r="10" customFormat="false" ht="60" hidden="false" customHeight="true" outlineLevel="0" collapsed="false">
      <c r="A10" s="18" t="s">
        <v>50</v>
      </c>
      <c r="B10" s="19" t="s">
        <v>223</v>
      </c>
      <c r="C10" s="20" t="s">
        <v>21</v>
      </c>
      <c r="D10" s="53" t="n">
        <f aca="false">'Funnel Italia'!D32</f>
        <v>1314997</v>
      </c>
      <c r="E10" s="15" t="s">
        <v>4</v>
      </c>
      <c r="F10" s="24" t="s">
        <v>224</v>
      </c>
      <c r="G10" s="24" t="s">
        <v>225</v>
      </c>
      <c r="H10" s="24" t="s">
        <v>226</v>
      </c>
      <c r="I10" s="25" t="s">
        <v>227</v>
      </c>
    </row>
    <row r="11" customFormat="false" ht="30" hidden="false" customHeight="true" outlineLevel="0" collapsed="false">
      <c r="A11" s="4" t="s">
        <v>54</v>
      </c>
      <c r="B11" s="39" t="s">
        <v>228</v>
      </c>
      <c r="C11" s="35" t="s">
        <v>31</v>
      </c>
      <c r="D11" s="38" t="s">
        <v>150</v>
      </c>
      <c r="E11" s="5" t="s">
        <v>4</v>
      </c>
      <c r="F11" s="38"/>
      <c r="G11" s="38"/>
      <c r="H11" s="38"/>
      <c r="I11" s="4" t="s">
        <v>229</v>
      </c>
    </row>
    <row r="12" customFormat="false" ht="30" hidden="false" customHeight="true" outlineLevel="0" collapsed="false">
      <c r="A12" s="18" t="s">
        <v>60</v>
      </c>
      <c r="B12" s="19" t="s">
        <v>230</v>
      </c>
      <c r="C12" s="20" t="s">
        <v>21</v>
      </c>
      <c r="D12" s="21" t="n">
        <f aca="false">D13+D14+D15+D16</f>
        <v>323073</v>
      </c>
      <c r="E12" s="15" t="s">
        <v>4</v>
      </c>
      <c r="F12" s="24"/>
      <c r="G12" s="24"/>
      <c r="H12" s="24"/>
      <c r="I12" s="25" t="s">
        <v>144</v>
      </c>
    </row>
    <row r="13" customFormat="false" ht="45" hidden="false" customHeight="true" outlineLevel="0" collapsed="false">
      <c r="A13" s="4" t="s">
        <v>63</v>
      </c>
      <c r="B13" s="39" t="s">
        <v>231</v>
      </c>
      <c r="C13" s="35" t="s">
        <v>31</v>
      </c>
      <c r="D13" s="55" t="n">
        <f aca="false">'Funnel Italia'!D28</f>
        <v>151000</v>
      </c>
      <c r="E13" s="5" t="s">
        <v>4</v>
      </c>
      <c r="F13" s="38" t="s">
        <v>232</v>
      </c>
      <c r="G13" s="38" t="s">
        <v>233</v>
      </c>
      <c r="H13" s="38" t="s">
        <v>234</v>
      </c>
      <c r="I13" s="4" t="s">
        <v>80</v>
      </c>
    </row>
    <row r="14" customFormat="false" ht="30" hidden="false" customHeight="true" outlineLevel="0" collapsed="false">
      <c r="A14" s="4" t="s">
        <v>95</v>
      </c>
      <c r="B14" s="39" t="s">
        <v>85</v>
      </c>
      <c r="C14" s="35" t="s">
        <v>31</v>
      </c>
      <c r="D14" s="55" t="n">
        <f aca="false">'Funnel Italia'!D29</f>
        <v>59744</v>
      </c>
      <c r="E14" s="5" t="s">
        <v>4</v>
      </c>
      <c r="F14" s="38" t="s">
        <v>235</v>
      </c>
      <c r="G14" s="38" t="s">
        <v>236</v>
      </c>
      <c r="H14" s="38" t="s">
        <v>237</v>
      </c>
      <c r="I14" s="4" t="s">
        <v>80</v>
      </c>
    </row>
    <row r="15" customFormat="false" ht="30" hidden="false" customHeight="true" outlineLevel="0" collapsed="false">
      <c r="A15" s="4" t="s">
        <v>238</v>
      </c>
      <c r="B15" s="39" t="s">
        <v>87</v>
      </c>
      <c r="C15" s="35" t="s">
        <v>31</v>
      </c>
      <c r="D15" s="55" t="n">
        <f aca="false">'Funnel Italia'!D30</f>
        <v>54771</v>
      </c>
      <c r="E15" s="5" t="s">
        <v>4</v>
      </c>
      <c r="F15" s="38" t="s">
        <v>239</v>
      </c>
      <c r="G15" s="38" t="s">
        <v>240</v>
      </c>
      <c r="H15" s="38" t="s">
        <v>241</v>
      </c>
      <c r="I15" s="4" t="s">
        <v>80</v>
      </c>
    </row>
    <row r="16" customFormat="false" ht="30" hidden="false" customHeight="true" outlineLevel="0" collapsed="false">
      <c r="A16" s="4" t="s">
        <v>242</v>
      </c>
      <c r="B16" s="39" t="s">
        <v>89</v>
      </c>
      <c r="C16" s="35" t="s">
        <v>31</v>
      </c>
      <c r="D16" s="55" t="n">
        <f aca="false">'Funnel Italia'!D31</f>
        <v>57558</v>
      </c>
      <c r="E16" s="5" t="s">
        <v>4</v>
      </c>
      <c r="F16" s="38" t="s">
        <v>243</v>
      </c>
      <c r="G16" s="38" t="s">
        <v>244</v>
      </c>
      <c r="H16" s="38" t="s">
        <v>245</v>
      </c>
      <c r="I16" s="4" t="s">
        <v>22</v>
      </c>
    </row>
    <row r="17" customFormat="false" ht="30" hidden="false" customHeight="true" outlineLevel="0" collapsed="false">
      <c r="A17" s="18" t="s">
        <v>152</v>
      </c>
      <c r="B17" s="19" t="s">
        <v>246</v>
      </c>
      <c r="C17" s="20" t="s">
        <v>21</v>
      </c>
      <c r="D17" s="21" t="n">
        <f aca="false">D18+D19</f>
        <v>870000</v>
      </c>
      <c r="E17" s="15" t="s">
        <v>4</v>
      </c>
      <c r="F17" s="24"/>
      <c r="G17" s="24"/>
      <c r="H17" s="24"/>
      <c r="I17" s="25" t="s">
        <v>129</v>
      </c>
    </row>
    <row r="18" customFormat="false" ht="30" hidden="false" customHeight="true" outlineLevel="0" collapsed="false">
      <c r="A18" s="4" t="s">
        <v>127</v>
      </c>
      <c r="B18" s="39" t="s">
        <v>247</v>
      </c>
      <c r="C18" s="35" t="s">
        <v>31</v>
      </c>
      <c r="D18" s="36" t="n">
        <v>195000</v>
      </c>
      <c r="E18" s="5" t="s">
        <v>4</v>
      </c>
      <c r="F18" s="38" t="s">
        <v>248</v>
      </c>
      <c r="G18" s="38" t="s">
        <v>249</v>
      </c>
      <c r="H18" s="38" t="s">
        <v>250</v>
      </c>
      <c r="I18" s="4" t="s">
        <v>251</v>
      </c>
    </row>
    <row r="19" customFormat="false" ht="45" hidden="false" customHeight="true" outlineLevel="0" collapsed="false">
      <c r="A19" s="4" t="s">
        <v>131</v>
      </c>
      <c r="B19" s="39" t="s">
        <v>252</v>
      </c>
      <c r="C19" s="35" t="s">
        <v>31</v>
      </c>
      <c r="D19" s="36" t="n">
        <f aca="false">870000-D18</f>
        <v>675000</v>
      </c>
      <c r="E19" s="5" t="s">
        <v>4</v>
      </c>
      <c r="F19" s="38" t="s">
        <v>253</v>
      </c>
      <c r="G19" s="38" t="s">
        <v>254</v>
      </c>
      <c r="H19" s="38" t="s">
        <v>255</v>
      </c>
      <c r="I19" s="4" t="s">
        <v>22</v>
      </c>
    </row>
    <row r="21" customFormat="false" ht="21.75" hidden="false" customHeight="true" outlineLevel="0" collapsed="false">
      <c r="A21" s="46" t="s">
        <v>256</v>
      </c>
      <c r="B21" s="47"/>
      <c r="C21" s="47"/>
      <c r="D21" s="47"/>
      <c r="E21" s="47"/>
      <c r="F21" s="47"/>
      <c r="G21" s="47"/>
      <c r="H21" s="47"/>
      <c r="I21" s="47"/>
    </row>
    <row r="22" customFormat="false" ht="30" hidden="false" customHeight="true" outlineLevel="0" collapsed="false">
      <c r="A22" s="9" t="s">
        <v>12</v>
      </c>
      <c r="B22" s="9" t="s">
        <v>137</v>
      </c>
      <c r="C22" s="9"/>
      <c r="D22" s="9" t="s">
        <v>14</v>
      </c>
      <c r="E22" s="9" t="s">
        <v>16</v>
      </c>
      <c r="F22" s="9" t="s">
        <v>138</v>
      </c>
      <c r="G22" s="9" t="s">
        <v>139</v>
      </c>
      <c r="H22" s="9" t="s">
        <v>140</v>
      </c>
      <c r="I22" s="9" t="s">
        <v>141</v>
      </c>
    </row>
    <row r="23" customFormat="false" ht="30" hidden="false" customHeight="true" outlineLevel="0" collapsed="false">
      <c r="A23" s="10" t="s">
        <v>257</v>
      </c>
      <c r="B23" s="11" t="s">
        <v>258</v>
      </c>
      <c r="C23" s="12" t="s">
        <v>21</v>
      </c>
      <c r="D23" s="13" t="n">
        <f aca="false">D24+D25+D26+D27+D28</f>
        <v>290119</v>
      </c>
      <c r="E23" s="15" t="s">
        <v>4</v>
      </c>
      <c r="F23" s="16"/>
      <c r="G23" s="16"/>
      <c r="H23" s="16"/>
      <c r="I23" s="17" t="s">
        <v>259</v>
      </c>
    </row>
    <row r="24" customFormat="false" ht="30" hidden="false" customHeight="true" outlineLevel="0" collapsed="false">
      <c r="A24" s="4" t="s">
        <v>106</v>
      </c>
      <c r="B24" s="39" t="s">
        <v>260</v>
      </c>
      <c r="C24" s="35" t="s">
        <v>31</v>
      </c>
      <c r="D24" s="36" t="n">
        <v>104700</v>
      </c>
      <c r="E24" s="5" t="s">
        <v>4</v>
      </c>
      <c r="F24" s="38" t="s">
        <v>261</v>
      </c>
      <c r="G24" s="38" t="s">
        <v>262</v>
      </c>
      <c r="H24" s="38" t="s">
        <v>263</v>
      </c>
      <c r="I24" s="4" t="s">
        <v>264</v>
      </c>
    </row>
    <row r="25" customFormat="false" ht="30" hidden="false" customHeight="true" outlineLevel="0" collapsed="false">
      <c r="A25" s="4" t="s">
        <v>109</v>
      </c>
      <c r="B25" s="39" t="s">
        <v>75</v>
      </c>
      <c r="C25" s="35" t="s">
        <v>31</v>
      </c>
      <c r="D25" s="36" t="n">
        <v>104100</v>
      </c>
      <c r="E25" s="5" t="s">
        <v>4</v>
      </c>
      <c r="F25" s="38"/>
      <c r="G25" s="38"/>
      <c r="H25" s="38"/>
      <c r="I25" s="4" t="s">
        <v>265</v>
      </c>
    </row>
    <row r="26" customFormat="false" ht="30" hidden="false" customHeight="true" outlineLevel="0" collapsed="false">
      <c r="A26" s="4" t="s">
        <v>112</v>
      </c>
      <c r="B26" s="39" t="s">
        <v>266</v>
      </c>
      <c r="C26" s="35" t="s">
        <v>31</v>
      </c>
      <c r="D26" s="36" t="n">
        <v>40451</v>
      </c>
      <c r="E26" s="5" t="s">
        <v>4</v>
      </c>
      <c r="F26" s="38" t="s">
        <v>267</v>
      </c>
      <c r="G26" s="38" t="s">
        <v>268</v>
      </c>
      <c r="H26" s="38" t="s">
        <v>160</v>
      </c>
      <c r="I26" s="4" t="s">
        <v>269</v>
      </c>
    </row>
    <row r="27" customFormat="false" ht="30" hidden="false" customHeight="true" outlineLevel="0" collapsed="false">
      <c r="A27" s="4" t="s">
        <v>122</v>
      </c>
      <c r="B27" s="39" t="s">
        <v>270</v>
      </c>
      <c r="C27" s="35" t="s">
        <v>31</v>
      </c>
      <c r="D27" s="36" t="n">
        <v>20130</v>
      </c>
      <c r="E27" s="5" t="s">
        <v>4</v>
      </c>
      <c r="F27" s="38" t="s">
        <v>271</v>
      </c>
      <c r="G27" s="38" t="s">
        <v>272</v>
      </c>
      <c r="H27" s="38" t="s">
        <v>273</v>
      </c>
      <c r="I27" s="4" t="s">
        <v>274</v>
      </c>
    </row>
    <row r="28" customFormat="false" ht="30" hidden="false" customHeight="true" outlineLevel="0" collapsed="false">
      <c r="A28" s="4" t="s">
        <v>195</v>
      </c>
      <c r="B28" s="39" t="s">
        <v>275</v>
      </c>
      <c r="C28" s="35" t="s">
        <v>31</v>
      </c>
      <c r="D28" s="36" t="n">
        <f aca="false">290119-D24-D25-D26-D27</f>
        <v>20738</v>
      </c>
      <c r="E28" s="5" t="s">
        <v>4</v>
      </c>
      <c r="F28" s="38"/>
      <c r="G28" s="38"/>
      <c r="H28" s="38"/>
      <c r="I28" s="4" t="s">
        <v>22</v>
      </c>
    </row>
    <row r="29" customFormat="false" ht="30" hidden="false" customHeight="true" outlineLevel="0" collapsed="false">
      <c r="A29" s="4" t="s">
        <v>276</v>
      </c>
      <c r="B29" s="38" t="s">
        <v>277</v>
      </c>
      <c r="C29" s="35"/>
      <c r="D29" s="36" t="n">
        <v>151120</v>
      </c>
      <c r="E29" s="5" t="s">
        <v>4</v>
      </c>
      <c r="F29" s="38"/>
      <c r="G29" s="38"/>
      <c r="H29" s="38"/>
      <c r="I29" s="4" t="s">
        <v>278</v>
      </c>
    </row>
    <row r="30" customFormat="false" ht="30" hidden="false" customHeight="true" outlineLevel="0" collapsed="false">
      <c r="A30" s="4" t="s">
        <v>279</v>
      </c>
      <c r="B30" s="38" t="s">
        <v>280</v>
      </c>
      <c r="C30" s="35"/>
      <c r="D30" s="36" t="n">
        <v>78565</v>
      </c>
      <c r="E30" s="5" t="s">
        <v>4</v>
      </c>
      <c r="F30" s="38"/>
      <c r="G30" s="38"/>
      <c r="H30" s="38"/>
      <c r="I30" s="4" t="s">
        <v>281</v>
      </c>
    </row>
    <row r="31" customFormat="false" ht="30" hidden="false" customHeight="true" outlineLevel="0" collapsed="false">
      <c r="A31" s="4" t="s">
        <v>200</v>
      </c>
      <c r="B31" s="38" t="s">
        <v>282</v>
      </c>
      <c r="C31" s="35"/>
      <c r="D31" s="38"/>
      <c r="E31" s="44"/>
      <c r="F31" s="38"/>
      <c r="G31" s="38"/>
      <c r="H31" s="38"/>
      <c r="I31" s="4" t="s">
        <v>283</v>
      </c>
    </row>
    <row r="33" customFormat="false" ht="27.75" hidden="false" customHeight="true" outlineLevel="0" collapsed="false">
      <c r="A33" s="56" t="s">
        <v>284</v>
      </c>
      <c r="B33" s="56"/>
      <c r="C33" s="56"/>
      <c r="D33" s="56"/>
      <c r="E33" s="56"/>
      <c r="F33" s="56"/>
      <c r="G33" s="56"/>
      <c r="H33" s="56"/>
      <c r="I33" s="56"/>
    </row>
    <row r="34" customFormat="false" ht="15" hidden="false" customHeight="false" outlineLevel="0" collapsed="false">
      <c r="A34" s="57" t="s">
        <v>203</v>
      </c>
    </row>
  </sheetData>
  <mergeCells count="1"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8" min="6" style="0" width="34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285</v>
      </c>
    </row>
    <row r="2" customFormat="false" ht="15" hidden="false" customHeight="false" outlineLevel="0" collapsed="false">
      <c r="A2" s="2" t="s">
        <v>286</v>
      </c>
    </row>
    <row r="4" customFormat="false" ht="30" hidden="false" customHeight="true" outlineLevel="0" collapsed="false">
      <c r="A4" s="9" t="s">
        <v>12</v>
      </c>
      <c r="B4" s="9" t="s">
        <v>137</v>
      </c>
      <c r="C4" s="9"/>
      <c r="D4" s="9" t="s">
        <v>14</v>
      </c>
      <c r="E4" s="9" t="s">
        <v>16</v>
      </c>
      <c r="F4" s="9" t="s">
        <v>138</v>
      </c>
      <c r="G4" s="9" t="s">
        <v>139</v>
      </c>
      <c r="H4" s="9" t="s">
        <v>140</v>
      </c>
      <c r="I4" s="9" t="s">
        <v>141</v>
      </c>
    </row>
    <row r="5" customFormat="false" ht="60" hidden="false" customHeight="true" outlineLevel="0" collapsed="false">
      <c r="A5" s="10" t="s">
        <v>142</v>
      </c>
      <c r="B5" s="11" t="s">
        <v>287</v>
      </c>
      <c r="C5" s="12" t="s">
        <v>21</v>
      </c>
      <c r="D5" s="13" t="n">
        <f aca="false">D6+D8</f>
        <v>3246000</v>
      </c>
      <c r="E5" s="58" t="s">
        <v>6</v>
      </c>
      <c r="F5" s="16" t="s">
        <v>288</v>
      </c>
      <c r="G5" s="16" t="s">
        <v>289</v>
      </c>
      <c r="H5" s="16" t="s">
        <v>290</v>
      </c>
      <c r="I5" s="17" t="s">
        <v>144</v>
      </c>
    </row>
    <row r="6" customFormat="false" ht="60" hidden="false" customHeight="true" outlineLevel="0" collapsed="false">
      <c r="A6" s="18" t="s">
        <v>23</v>
      </c>
      <c r="B6" s="19" t="s">
        <v>291</v>
      </c>
      <c r="C6" s="20" t="s">
        <v>21</v>
      </c>
      <c r="D6" s="53" t="n">
        <f aca="false">'Funnel Italia'!D15</f>
        <v>1156000</v>
      </c>
      <c r="E6" s="58" t="s">
        <v>6</v>
      </c>
      <c r="F6" s="24" t="s">
        <v>292</v>
      </c>
      <c r="G6" s="24" t="s">
        <v>293</v>
      </c>
      <c r="H6" s="24" t="s">
        <v>294</v>
      </c>
      <c r="I6" s="25" t="s">
        <v>251</v>
      </c>
    </row>
    <row r="7" customFormat="false" ht="30" hidden="false" customHeight="true" outlineLevel="0" collapsed="false">
      <c r="A7" s="4" t="s">
        <v>26</v>
      </c>
      <c r="B7" s="39" t="s">
        <v>295</v>
      </c>
      <c r="C7" s="35" t="s">
        <v>31</v>
      </c>
      <c r="D7" s="38" t="s">
        <v>150</v>
      </c>
      <c r="E7" s="6" t="s">
        <v>6</v>
      </c>
      <c r="F7" s="38"/>
      <c r="G7" s="38"/>
      <c r="H7" s="38"/>
      <c r="I7" s="4" t="s">
        <v>296</v>
      </c>
    </row>
    <row r="8" customFormat="false" ht="60" hidden="false" customHeight="true" outlineLevel="0" collapsed="false">
      <c r="A8" s="18" t="s">
        <v>50</v>
      </c>
      <c r="B8" s="19" t="s">
        <v>297</v>
      </c>
      <c r="C8" s="20" t="s">
        <v>21</v>
      </c>
      <c r="D8" s="21" t="n">
        <f aca="false">D9+D10</f>
        <v>2090000</v>
      </c>
      <c r="E8" s="58" t="s">
        <v>6</v>
      </c>
      <c r="F8" s="24" t="s">
        <v>298</v>
      </c>
      <c r="G8" s="24" t="s">
        <v>299</v>
      </c>
      <c r="H8" s="24" t="s">
        <v>300</v>
      </c>
      <c r="I8" s="25" t="s">
        <v>80</v>
      </c>
    </row>
    <row r="9" customFormat="false" ht="30" hidden="false" customHeight="true" outlineLevel="0" collapsed="false">
      <c r="A9" s="4" t="s">
        <v>54</v>
      </c>
      <c r="B9" s="39" t="s">
        <v>301</v>
      </c>
      <c r="C9" s="35" t="s">
        <v>31</v>
      </c>
      <c r="D9" s="36" t="n">
        <v>1790000</v>
      </c>
      <c r="E9" s="6" t="s">
        <v>6</v>
      </c>
      <c r="F9" s="38" t="s">
        <v>165</v>
      </c>
      <c r="G9" s="38" t="s">
        <v>165</v>
      </c>
      <c r="H9" s="38" t="s">
        <v>165</v>
      </c>
      <c r="I9" s="4" t="s">
        <v>302</v>
      </c>
    </row>
    <row r="10" customFormat="false" ht="30" hidden="false" customHeight="true" outlineLevel="0" collapsed="false">
      <c r="A10" s="4" t="s">
        <v>57</v>
      </c>
      <c r="B10" s="39" t="s">
        <v>303</v>
      </c>
      <c r="C10" s="35" t="s">
        <v>31</v>
      </c>
      <c r="D10" s="36" t="n">
        <f aca="false">2090000-D9</f>
        <v>300000</v>
      </c>
      <c r="E10" s="6" t="s">
        <v>6</v>
      </c>
      <c r="F10" s="38" t="s">
        <v>165</v>
      </c>
      <c r="G10" s="38" t="s">
        <v>165</v>
      </c>
      <c r="H10" s="38" t="s">
        <v>165</v>
      </c>
      <c r="I10" s="4" t="s">
        <v>22</v>
      </c>
    </row>
    <row r="11" customFormat="false" ht="30" hidden="false" customHeight="true" outlineLevel="0" collapsed="false">
      <c r="A11" s="4" t="s">
        <v>152</v>
      </c>
      <c r="B11" s="38" t="s">
        <v>304</v>
      </c>
      <c r="C11" s="35"/>
      <c r="D11" s="38" t="s">
        <v>150</v>
      </c>
      <c r="E11" s="6" t="s">
        <v>6</v>
      </c>
      <c r="F11" s="38" t="s">
        <v>305</v>
      </c>
      <c r="G11" s="38" t="s">
        <v>306</v>
      </c>
      <c r="H11" s="38" t="s">
        <v>307</v>
      </c>
      <c r="I11" s="4" t="s">
        <v>216</v>
      </c>
    </row>
    <row r="13" customFormat="false" ht="21.75" hidden="false" customHeight="true" outlineLevel="0" collapsed="false">
      <c r="A13" s="46" t="s">
        <v>308</v>
      </c>
      <c r="B13" s="47"/>
      <c r="C13" s="47"/>
      <c r="D13" s="47"/>
      <c r="E13" s="47"/>
      <c r="F13" s="47"/>
      <c r="G13" s="47"/>
      <c r="H13" s="47"/>
      <c r="I13" s="47"/>
    </row>
    <row r="14" customFormat="false" ht="30" hidden="false" customHeight="true" outlineLevel="0" collapsed="false">
      <c r="A14" s="9" t="s">
        <v>12</v>
      </c>
      <c r="B14" s="9" t="s">
        <v>137</v>
      </c>
      <c r="C14" s="9"/>
      <c r="D14" s="9" t="s">
        <v>14</v>
      </c>
      <c r="E14" s="9" t="s">
        <v>16</v>
      </c>
      <c r="F14" s="9" t="s">
        <v>138</v>
      </c>
      <c r="G14" s="9" t="s">
        <v>139</v>
      </c>
      <c r="H14" s="9" t="s">
        <v>140</v>
      </c>
      <c r="I14" s="9" t="s">
        <v>141</v>
      </c>
    </row>
    <row r="15" customFormat="false" ht="30" hidden="false" customHeight="true" outlineLevel="0" collapsed="false">
      <c r="A15" s="10" t="s">
        <v>257</v>
      </c>
      <c r="B15" s="11" t="s">
        <v>309</v>
      </c>
      <c r="C15" s="12" t="s">
        <v>21</v>
      </c>
      <c r="D15" s="13" t="n">
        <f aca="false">D16+D17+D18+D19+D20+D21</f>
        <v>217448</v>
      </c>
      <c r="E15" s="58" t="s">
        <v>6</v>
      </c>
      <c r="F15" s="16"/>
      <c r="G15" s="16"/>
      <c r="H15" s="16"/>
      <c r="I15" s="17" t="s">
        <v>310</v>
      </c>
    </row>
    <row r="16" customFormat="false" ht="30" hidden="false" customHeight="true" outlineLevel="0" collapsed="false">
      <c r="A16" s="4" t="s">
        <v>106</v>
      </c>
      <c r="B16" s="39" t="s">
        <v>311</v>
      </c>
      <c r="C16" s="35" t="s">
        <v>31</v>
      </c>
      <c r="D16" s="36" t="n">
        <v>85000</v>
      </c>
      <c r="E16" s="6" t="s">
        <v>6</v>
      </c>
      <c r="F16" s="38" t="s">
        <v>312</v>
      </c>
      <c r="G16" s="38" t="s">
        <v>313</v>
      </c>
      <c r="H16" s="38" t="s">
        <v>314</v>
      </c>
      <c r="I16" s="4" t="s">
        <v>315</v>
      </c>
    </row>
    <row r="17" customFormat="false" ht="30" hidden="false" customHeight="true" outlineLevel="0" collapsed="false">
      <c r="A17" s="4" t="s">
        <v>109</v>
      </c>
      <c r="B17" s="39" t="s">
        <v>316</v>
      </c>
      <c r="C17" s="35" t="s">
        <v>31</v>
      </c>
      <c r="D17" s="36" t="n">
        <v>63000</v>
      </c>
      <c r="E17" s="6" t="s">
        <v>6</v>
      </c>
      <c r="F17" s="38" t="s">
        <v>317</v>
      </c>
      <c r="G17" s="38"/>
      <c r="H17" s="38" t="s">
        <v>318</v>
      </c>
      <c r="I17" s="4" t="s">
        <v>315</v>
      </c>
    </row>
    <row r="18" customFormat="false" ht="30" hidden="false" customHeight="true" outlineLevel="0" collapsed="false">
      <c r="A18" s="4" t="s">
        <v>112</v>
      </c>
      <c r="B18" s="39" t="s">
        <v>319</v>
      </c>
      <c r="C18" s="35" t="s">
        <v>31</v>
      </c>
      <c r="D18" s="36" t="n">
        <v>22000</v>
      </c>
      <c r="E18" s="6" t="s">
        <v>6</v>
      </c>
      <c r="F18" s="38" t="s">
        <v>320</v>
      </c>
      <c r="G18" s="38" t="s">
        <v>321</v>
      </c>
      <c r="H18" s="38" t="s">
        <v>273</v>
      </c>
      <c r="I18" s="4" t="s">
        <v>315</v>
      </c>
    </row>
    <row r="19" customFormat="false" ht="30" hidden="false" customHeight="true" outlineLevel="0" collapsed="false">
      <c r="A19" s="4" t="s">
        <v>122</v>
      </c>
      <c r="B19" s="39" t="s">
        <v>322</v>
      </c>
      <c r="C19" s="35" t="s">
        <v>31</v>
      </c>
      <c r="D19" s="36" t="n">
        <v>19000</v>
      </c>
      <c r="E19" s="6" t="s">
        <v>6</v>
      </c>
      <c r="F19" s="38" t="s">
        <v>323</v>
      </c>
      <c r="G19" s="38" t="s">
        <v>324</v>
      </c>
      <c r="H19" s="38" t="s">
        <v>325</v>
      </c>
      <c r="I19" s="4" t="s">
        <v>315</v>
      </c>
    </row>
    <row r="20" customFormat="false" ht="30" hidden="false" customHeight="true" outlineLevel="0" collapsed="false">
      <c r="A20" s="4" t="s">
        <v>195</v>
      </c>
      <c r="B20" s="39" t="s">
        <v>326</v>
      </c>
      <c r="C20" s="35" t="s">
        <v>31</v>
      </c>
      <c r="D20" s="36" t="n">
        <v>11000</v>
      </c>
      <c r="E20" s="6" t="s">
        <v>6</v>
      </c>
      <c r="F20" s="38" t="s">
        <v>320</v>
      </c>
      <c r="G20" s="38"/>
      <c r="H20" s="38" t="s">
        <v>327</v>
      </c>
      <c r="I20" s="4" t="s">
        <v>315</v>
      </c>
    </row>
    <row r="21" customFormat="false" ht="30" hidden="false" customHeight="true" outlineLevel="0" collapsed="false">
      <c r="A21" s="4" t="s">
        <v>328</v>
      </c>
      <c r="B21" s="39" t="s">
        <v>329</v>
      </c>
      <c r="C21" s="35" t="s">
        <v>31</v>
      </c>
      <c r="D21" s="36" t="n">
        <f aca="false">217448-D16-D17-D18-D19-D20</f>
        <v>17448</v>
      </c>
      <c r="E21" s="6" t="s">
        <v>6</v>
      </c>
      <c r="F21" s="38"/>
      <c r="G21" s="38"/>
      <c r="H21" s="38"/>
      <c r="I21" s="4" t="s">
        <v>22</v>
      </c>
    </row>
    <row r="22" customFormat="false" ht="30" hidden="false" customHeight="true" outlineLevel="0" collapsed="false">
      <c r="A22" s="4" t="s">
        <v>200</v>
      </c>
      <c r="B22" s="38" t="s">
        <v>330</v>
      </c>
      <c r="C22" s="35"/>
      <c r="D22" s="38"/>
      <c r="E22" s="44"/>
      <c r="F22" s="38"/>
      <c r="G22" s="38"/>
      <c r="H22" s="38"/>
      <c r="I22" s="4" t="s">
        <v>283</v>
      </c>
    </row>
    <row r="24" customFormat="false" ht="27.75" hidden="false" customHeight="true" outlineLevel="0" collapsed="false">
      <c r="A24" s="56" t="s">
        <v>331</v>
      </c>
      <c r="B24" s="56"/>
      <c r="C24" s="56"/>
      <c r="D24" s="56"/>
      <c r="E24" s="56"/>
      <c r="F24" s="56"/>
      <c r="G24" s="56"/>
      <c r="H24" s="56"/>
      <c r="I24" s="56"/>
    </row>
    <row r="25" customFormat="false" ht="15" hidden="false" customHeight="false" outlineLevel="0" collapsed="false">
      <c r="A25" s="57" t="s">
        <v>203</v>
      </c>
    </row>
  </sheetData>
  <mergeCells count="1"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DEBF7"/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8" min="6" style="0" width="34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332</v>
      </c>
    </row>
    <row r="2" customFormat="false" ht="15" hidden="false" customHeight="false" outlineLevel="0" collapsed="false">
      <c r="A2" s="2" t="s">
        <v>333</v>
      </c>
    </row>
    <row r="4" customFormat="false" ht="30" hidden="false" customHeight="true" outlineLevel="0" collapsed="false">
      <c r="A4" s="9" t="s">
        <v>12</v>
      </c>
      <c r="B4" s="9" t="s">
        <v>137</v>
      </c>
      <c r="C4" s="9"/>
      <c r="D4" s="9" t="s">
        <v>14</v>
      </c>
      <c r="E4" s="9" t="s">
        <v>16</v>
      </c>
      <c r="F4" s="9" t="s">
        <v>138</v>
      </c>
      <c r="G4" s="9" t="s">
        <v>139</v>
      </c>
      <c r="H4" s="9" t="s">
        <v>140</v>
      </c>
      <c r="I4" s="9" t="s">
        <v>141</v>
      </c>
    </row>
    <row r="5" customFormat="false" ht="30" hidden="false" customHeight="true" outlineLevel="0" collapsed="false">
      <c r="A5" s="10" t="s">
        <v>142</v>
      </c>
      <c r="B5" s="11" t="s">
        <v>8</v>
      </c>
      <c r="C5" s="12" t="s">
        <v>21</v>
      </c>
      <c r="D5" s="13" t="n">
        <f aca="false">D6+D10</f>
        <v>1213642</v>
      </c>
      <c r="E5" s="59" t="s">
        <v>8</v>
      </c>
      <c r="F5" s="16"/>
      <c r="G5" s="16"/>
      <c r="H5" s="16"/>
      <c r="I5" s="17" t="s">
        <v>144</v>
      </c>
    </row>
    <row r="6" customFormat="false" ht="60" hidden="false" customHeight="true" outlineLevel="0" collapsed="false">
      <c r="A6" s="18" t="s">
        <v>23</v>
      </c>
      <c r="B6" s="19" t="s">
        <v>55</v>
      </c>
      <c r="C6" s="20" t="s">
        <v>21</v>
      </c>
      <c r="D6" s="53" t="n">
        <f aca="false">'Funnel Italia'!D20</f>
        <v>1053042</v>
      </c>
      <c r="E6" s="59" t="s">
        <v>8</v>
      </c>
      <c r="F6" s="24" t="s">
        <v>334</v>
      </c>
      <c r="G6" s="24" t="s">
        <v>335</v>
      </c>
      <c r="H6" s="24" t="s">
        <v>336</v>
      </c>
      <c r="I6" s="25" t="s">
        <v>56</v>
      </c>
    </row>
    <row r="7" customFormat="false" ht="30" hidden="false" customHeight="true" outlineLevel="0" collapsed="false">
      <c r="A7" s="4" t="s">
        <v>26</v>
      </c>
      <c r="B7" s="39" t="s">
        <v>337</v>
      </c>
      <c r="C7" s="35" t="s">
        <v>31</v>
      </c>
      <c r="D7" s="38" t="s">
        <v>150</v>
      </c>
      <c r="E7" s="8" t="s">
        <v>10</v>
      </c>
      <c r="F7" s="38" t="s">
        <v>338</v>
      </c>
      <c r="G7" s="38" t="s">
        <v>293</v>
      </c>
      <c r="H7" s="38" t="s">
        <v>339</v>
      </c>
      <c r="I7" s="4"/>
    </row>
    <row r="8" customFormat="false" ht="30" hidden="false" customHeight="true" outlineLevel="0" collapsed="false">
      <c r="A8" s="4" t="s">
        <v>38</v>
      </c>
      <c r="B8" s="39" t="s">
        <v>340</v>
      </c>
      <c r="C8" s="35" t="s">
        <v>31</v>
      </c>
      <c r="D8" s="38" t="s">
        <v>150</v>
      </c>
      <c r="E8" s="7" t="s">
        <v>8</v>
      </c>
      <c r="F8" s="38" t="s">
        <v>341</v>
      </c>
      <c r="G8" s="38" t="s">
        <v>342</v>
      </c>
      <c r="H8" s="38" t="s">
        <v>160</v>
      </c>
      <c r="I8" s="4" t="s">
        <v>343</v>
      </c>
    </row>
    <row r="9" customFormat="false" ht="45" hidden="false" customHeight="true" outlineLevel="0" collapsed="false">
      <c r="A9" s="4" t="s">
        <v>217</v>
      </c>
      <c r="B9" s="39" t="s">
        <v>344</v>
      </c>
      <c r="C9" s="35" t="s">
        <v>31</v>
      </c>
      <c r="D9" s="38" t="s">
        <v>150</v>
      </c>
      <c r="E9" s="3" t="s">
        <v>2</v>
      </c>
      <c r="F9" s="38" t="s">
        <v>345</v>
      </c>
      <c r="G9" s="38" t="s">
        <v>346</v>
      </c>
      <c r="H9" s="38" t="s">
        <v>160</v>
      </c>
      <c r="I9" s="4" t="s">
        <v>347</v>
      </c>
    </row>
    <row r="10" customFormat="false" ht="45" hidden="false" customHeight="true" outlineLevel="0" collapsed="false">
      <c r="A10" s="18" t="s">
        <v>50</v>
      </c>
      <c r="B10" s="19" t="s">
        <v>348</v>
      </c>
      <c r="C10" s="20" t="s">
        <v>21</v>
      </c>
      <c r="D10" s="53" t="n">
        <f aca="false">'Funnel Italia'!D27</f>
        <v>160600</v>
      </c>
      <c r="E10" s="59" t="s">
        <v>8</v>
      </c>
      <c r="F10" s="24" t="s">
        <v>349</v>
      </c>
      <c r="G10" s="24" t="s">
        <v>350</v>
      </c>
      <c r="H10" s="24" t="s">
        <v>351</v>
      </c>
      <c r="I10" s="25" t="s">
        <v>352</v>
      </c>
    </row>
    <row r="11" customFormat="false" ht="30" hidden="false" customHeight="true" outlineLevel="0" collapsed="false">
      <c r="A11" s="4" t="s">
        <v>54</v>
      </c>
      <c r="B11" s="39" t="s">
        <v>353</v>
      </c>
      <c r="C11" s="35" t="s">
        <v>31</v>
      </c>
      <c r="D11" s="38" t="s">
        <v>150</v>
      </c>
      <c r="E11" s="5" t="s">
        <v>4</v>
      </c>
      <c r="F11" s="38"/>
      <c r="G11" s="38"/>
      <c r="H11" s="38"/>
      <c r="I11" s="4" t="s">
        <v>216</v>
      </c>
    </row>
    <row r="12" customFormat="false" ht="30" hidden="false" customHeight="true" outlineLevel="0" collapsed="false">
      <c r="A12" s="4" t="s">
        <v>57</v>
      </c>
      <c r="B12" s="39" t="s">
        <v>354</v>
      </c>
      <c r="C12" s="35" t="s">
        <v>31</v>
      </c>
      <c r="D12" s="38" t="s">
        <v>150</v>
      </c>
      <c r="E12" s="7" t="s">
        <v>8</v>
      </c>
      <c r="F12" s="38"/>
      <c r="G12" s="38" t="s">
        <v>355</v>
      </c>
      <c r="H12" s="38" t="s">
        <v>160</v>
      </c>
      <c r="I12" s="4" t="s">
        <v>216</v>
      </c>
    </row>
    <row r="14" customFormat="false" ht="27.75" hidden="false" customHeight="true" outlineLevel="0" collapsed="false">
      <c r="A14" s="56" t="s">
        <v>356</v>
      </c>
      <c r="B14" s="56"/>
      <c r="C14" s="56"/>
      <c r="D14" s="56"/>
      <c r="E14" s="56"/>
      <c r="F14" s="56"/>
      <c r="G14" s="56"/>
      <c r="H14" s="56"/>
      <c r="I14" s="56"/>
    </row>
    <row r="15" customFormat="false" ht="15" hidden="false" customHeight="false" outlineLevel="0" collapsed="false">
      <c r="A15" s="57" t="s">
        <v>203</v>
      </c>
    </row>
  </sheetData>
  <mergeCells count="1"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E6E6"/>
    <pageSetUpPr fitToPage="tru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8" min="6" style="0" width="34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357</v>
      </c>
    </row>
    <row r="2" customFormat="false" ht="15" hidden="false" customHeight="false" outlineLevel="0" collapsed="false">
      <c r="A2" s="2" t="s">
        <v>358</v>
      </c>
    </row>
    <row r="4" customFormat="false" ht="30" hidden="false" customHeight="true" outlineLevel="0" collapsed="false">
      <c r="A4" s="9" t="s">
        <v>12</v>
      </c>
      <c r="B4" s="9" t="s">
        <v>137</v>
      </c>
      <c r="C4" s="9"/>
      <c r="D4" s="9" t="s">
        <v>14</v>
      </c>
      <c r="E4" s="9" t="s">
        <v>16</v>
      </c>
      <c r="F4" s="9" t="s">
        <v>138</v>
      </c>
      <c r="G4" s="9" t="s">
        <v>139</v>
      </c>
      <c r="H4" s="9" t="s">
        <v>140</v>
      </c>
      <c r="I4" s="9" t="s">
        <v>141</v>
      </c>
    </row>
    <row r="5" customFormat="false" ht="30" hidden="false" customHeight="true" outlineLevel="0" collapsed="false">
      <c r="A5" s="10" t="s">
        <v>142</v>
      </c>
      <c r="B5" s="11" t="s">
        <v>359</v>
      </c>
      <c r="C5" s="12" t="s">
        <v>21</v>
      </c>
      <c r="D5" s="13" t="n">
        <f aca="false">D6+D7+D8</f>
        <v>50647041</v>
      </c>
      <c r="E5" s="60" t="s">
        <v>10</v>
      </c>
      <c r="F5" s="16"/>
      <c r="G5" s="16"/>
      <c r="H5" s="16"/>
      <c r="I5" s="17" t="s">
        <v>144</v>
      </c>
    </row>
    <row r="6" customFormat="false" ht="30" hidden="false" customHeight="true" outlineLevel="0" collapsed="false">
      <c r="A6" s="4" t="s">
        <v>23</v>
      </c>
      <c r="B6" s="38" t="s">
        <v>360</v>
      </c>
      <c r="C6" s="35" t="s">
        <v>31</v>
      </c>
      <c r="D6" s="55" t="n">
        <f aca="false">'Funnel Italia'!D14</f>
        <v>50057465</v>
      </c>
      <c r="E6" s="8" t="s">
        <v>10</v>
      </c>
      <c r="F6" s="38" t="s">
        <v>361</v>
      </c>
      <c r="G6" s="38"/>
      <c r="H6" s="38"/>
      <c r="I6" s="4" t="s">
        <v>22</v>
      </c>
    </row>
    <row r="7" customFormat="false" ht="30" hidden="false" customHeight="true" outlineLevel="0" collapsed="false">
      <c r="A7" s="4" t="s">
        <v>50</v>
      </c>
      <c r="B7" s="38" t="s">
        <v>362</v>
      </c>
      <c r="C7" s="35" t="s">
        <v>31</v>
      </c>
      <c r="D7" s="55" t="n">
        <f aca="false">'Funnel Italia'!D18</f>
        <v>268748</v>
      </c>
      <c r="E7" s="8" t="s">
        <v>10</v>
      </c>
      <c r="F7" s="38" t="s">
        <v>361</v>
      </c>
      <c r="G7" s="38"/>
      <c r="H7" s="38"/>
      <c r="I7" s="4" t="s">
        <v>22</v>
      </c>
    </row>
    <row r="8" customFormat="false" ht="45" hidden="false" customHeight="true" outlineLevel="0" collapsed="false">
      <c r="A8" s="4" t="s">
        <v>60</v>
      </c>
      <c r="B8" s="38" t="s">
        <v>363</v>
      </c>
      <c r="C8" s="35" t="s">
        <v>31</v>
      </c>
      <c r="D8" s="55" t="n">
        <f aca="false">'Funnel Italia'!D21</f>
        <v>320828</v>
      </c>
      <c r="E8" s="8" t="s">
        <v>10</v>
      </c>
      <c r="F8" s="38" t="s">
        <v>364</v>
      </c>
      <c r="G8" s="38" t="s">
        <v>365</v>
      </c>
      <c r="H8" s="38" t="s">
        <v>339</v>
      </c>
      <c r="I8" s="4" t="s">
        <v>22</v>
      </c>
    </row>
    <row r="10" customFormat="false" ht="27.75" hidden="false" customHeight="true" outlineLevel="0" collapsed="false">
      <c r="A10" s="56" t="s">
        <v>366</v>
      </c>
      <c r="B10" s="56"/>
      <c r="C10" s="56"/>
      <c r="D10" s="56"/>
      <c r="E10" s="56"/>
      <c r="F10" s="56"/>
      <c r="G10" s="56"/>
      <c r="H10" s="56"/>
      <c r="I10" s="56"/>
    </row>
    <row r="11" customFormat="false" ht="15" hidden="false" customHeight="false" outlineLevel="0" collapsed="false">
      <c r="A11" s="57" t="s">
        <v>203</v>
      </c>
    </row>
  </sheetData>
  <mergeCells count="1"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true"/>
  </sheetPr>
  <dimension ref="A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10" min="5" style="0" width="12"/>
    <col collapsed="false" customWidth="true" hidden="false" outlineLevel="0" max="11" min="11" style="0" width="40"/>
  </cols>
  <sheetData>
    <row r="1" customFormat="false" ht="27.75" hidden="false" customHeight="true" outlineLevel="0" collapsed="false">
      <c r="A1" s="1" t="s">
        <v>367</v>
      </c>
    </row>
    <row r="2" customFormat="false" ht="15" hidden="false" customHeight="false" outlineLevel="0" collapsed="false">
      <c r="A2" s="2" t="s">
        <v>368</v>
      </c>
    </row>
    <row r="4" customFormat="false" ht="30" hidden="false" customHeight="true" outlineLevel="0" collapsed="false">
      <c r="A4" s="9" t="s">
        <v>16</v>
      </c>
      <c r="B4" s="9" t="s">
        <v>13</v>
      </c>
      <c r="C4" s="9" t="s">
        <v>369</v>
      </c>
      <c r="D4" s="9" t="s">
        <v>370</v>
      </c>
      <c r="E4" s="9" t="s">
        <v>371</v>
      </c>
      <c r="F4" s="9" t="s">
        <v>372</v>
      </c>
      <c r="G4" s="9" t="s">
        <v>373</v>
      </c>
      <c r="H4" s="9" t="s">
        <v>374</v>
      </c>
      <c r="I4" s="9" t="s">
        <v>375</v>
      </c>
      <c r="J4" s="9" t="s">
        <v>376</v>
      </c>
      <c r="K4" s="9" t="s">
        <v>377</v>
      </c>
    </row>
    <row r="6" customFormat="false" ht="21.75" hidden="false" customHeight="true" outlineLevel="0" collapsed="false">
      <c r="A6" s="46" t="s">
        <v>378</v>
      </c>
      <c r="B6" s="47"/>
      <c r="C6" s="47"/>
      <c r="D6" s="47"/>
      <c r="E6" s="47"/>
      <c r="F6" s="47"/>
      <c r="G6" s="47"/>
      <c r="H6" s="47"/>
      <c r="I6" s="47"/>
      <c r="J6" s="47"/>
      <c r="K6" s="47"/>
    </row>
    <row r="7" customFormat="false" ht="30" hidden="false" customHeight="true" outlineLevel="0" collapsed="false">
      <c r="A7" s="3" t="s">
        <v>2</v>
      </c>
      <c r="B7" s="38" t="s">
        <v>101</v>
      </c>
      <c r="C7" s="38" t="s">
        <v>379</v>
      </c>
      <c r="D7" s="61" t="n">
        <v>0.224</v>
      </c>
      <c r="E7" s="62" t="n">
        <v>0.4</v>
      </c>
      <c r="F7" s="62" t="n">
        <v>0.55</v>
      </c>
      <c r="G7" s="62" t="n">
        <v>0.7</v>
      </c>
      <c r="H7" s="62" t="n">
        <v>0.85</v>
      </c>
      <c r="I7" s="62" t="n">
        <v>0.95</v>
      </c>
      <c r="J7" s="62" t="n">
        <v>1</v>
      </c>
      <c r="K7" s="4" t="s">
        <v>160</v>
      </c>
    </row>
    <row r="8" customFormat="false" ht="30" hidden="false" customHeight="true" outlineLevel="0" collapsed="false">
      <c r="A8" s="3" t="s">
        <v>2</v>
      </c>
      <c r="B8" s="38" t="s">
        <v>101</v>
      </c>
      <c r="C8" s="38" t="s">
        <v>380</v>
      </c>
      <c r="D8" s="55" t="n">
        <f aca="false">'Funnel Italia'!D39</f>
        <v>21295</v>
      </c>
      <c r="E8" s="63" t="n">
        <v>35000</v>
      </c>
      <c r="F8" s="63" t="n">
        <v>50000</v>
      </c>
      <c r="G8" s="63" t="n">
        <v>80000</v>
      </c>
      <c r="H8" s="63" t="n">
        <v>100000</v>
      </c>
      <c r="I8" s="63" t="n">
        <v>100000</v>
      </c>
      <c r="J8" s="63" t="n">
        <v>100000</v>
      </c>
      <c r="K8" s="4" t="s">
        <v>160</v>
      </c>
    </row>
    <row r="9" customFormat="false" ht="30" hidden="false" customHeight="true" outlineLevel="0" collapsed="false">
      <c r="A9" s="3" t="s">
        <v>2</v>
      </c>
      <c r="B9" s="64" t="s">
        <v>101</v>
      </c>
      <c r="C9" s="64" t="s">
        <v>184</v>
      </c>
      <c r="D9" s="55" t="n">
        <f aca="false">'Funnel Italia'!D40</f>
        <v>4780</v>
      </c>
      <c r="E9" s="65" t="n">
        <f aca="false">ROUND(E8*E7,0)</f>
        <v>14000</v>
      </c>
      <c r="F9" s="65" t="n">
        <f aca="false">ROUND(F8*F7,0)</f>
        <v>27500</v>
      </c>
      <c r="G9" s="65" t="n">
        <f aca="false">ROUND(G8*G7,0)</f>
        <v>56000</v>
      </c>
      <c r="H9" s="65" t="n">
        <f aca="false">ROUND(H8*H7,0)</f>
        <v>85000</v>
      </c>
      <c r="I9" s="65" t="n">
        <f aca="false">ROUND(I8*I7,0)</f>
        <v>95000</v>
      </c>
      <c r="J9" s="65" t="n">
        <f aca="false">ROUND(J8*J7,0)</f>
        <v>100000</v>
      </c>
      <c r="K9" s="4" t="s">
        <v>160</v>
      </c>
    </row>
    <row r="10" customFormat="false" ht="30" hidden="false" customHeight="true" outlineLevel="0" collapsed="false">
      <c r="A10" s="3" t="s">
        <v>2</v>
      </c>
      <c r="B10" s="38" t="s">
        <v>101</v>
      </c>
      <c r="C10" s="38" t="s">
        <v>381</v>
      </c>
      <c r="D10" s="61" t="n">
        <v>0.15</v>
      </c>
      <c r="E10" s="62" t="n">
        <v>0.2</v>
      </c>
      <c r="F10" s="62" t="n">
        <v>0.3</v>
      </c>
      <c r="G10" s="62" t="n">
        <v>0.4</v>
      </c>
      <c r="H10" s="62" t="n">
        <v>0.5</v>
      </c>
      <c r="I10" s="62" t="n">
        <v>0.5</v>
      </c>
      <c r="J10" s="62" t="n">
        <v>0.5</v>
      </c>
      <c r="K10" s="4" t="s">
        <v>160</v>
      </c>
    </row>
    <row r="11" customFormat="false" ht="30" hidden="false" customHeight="true" outlineLevel="0" collapsed="false">
      <c r="A11" s="3" t="s">
        <v>2</v>
      </c>
      <c r="B11" s="38" t="s">
        <v>101</v>
      </c>
      <c r="C11" s="38" t="s">
        <v>382</v>
      </c>
      <c r="D11" s="55" t="n">
        <f aca="false">'Funnel Italia'!D43</f>
        <v>717</v>
      </c>
      <c r="E11" s="36" t="n">
        <f aca="false">ROUND(E9*E10,0)</f>
        <v>2800</v>
      </c>
      <c r="F11" s="36" t="n">
        <f aca="false">ROUND(F9*F10,0)</f>
        <v>8250</v>
      </c>
      <c r="G11" s="36" t="n">
        <f aca="false">ROUND(G9*G10,0)</f>
        <v>22400</v>
      </c>
      <c r="H11" s="36" t="n">
        <f aca="false">ROUND(H9*H10,0)</f>
        <v>42500</v>
      </c>
      <c r="I11" s="36" t="n">
        <f aca="false">ROUND(I9*I10,0)</f>
        <v>47500</v>
      </c>
      <c r="J11" s="36" t="n">
        <f aca="false">ROUND(J9*J10,0)</f>
        <v>50000</v>
      </c>
      <c r="K11" s="4" t="s">
        <v>383</v>
      </c>
    </row>
    <row r="12" customFormat="false" ht="30" hidden="false" customHeight="true" outlineLevel="0" collapsed="false">
      <c r="A12" s="3" t="s">
        <v>2</v>
      </c>
      <c r="B12" s="38" t="s">
        <v>101</v>
      </c>
      <c r="C12" s="38" t="s">
        <v>384</v>
      </c>
      <c r="D12" s="36" t="n">
        <f aca="false">D9-D11</f>
        <v>4063</v>
      </c>
      <c r="E12" s="36" t="n">
        <f aca="false">E9-E11</f>
        <v>11200</v>
      </c>
      <c r="F12" s="36" t="n">
        <f aca="false">F9-F11</f>
        <v>19250</v>
      </c>
      <c r="G12" s="36" t="n">
        <f aca="false">G9-G11</f>
        <v>33600</v>
      </c>
      <c r="H12" s="36" t="n">
        <f aca="false">H9-H11</f>
        <v>42500</v>
      </c>
      <c r="I12" s="36" t="n">
        <f aca="false">I9-I11</f>
        <v>47500</v>
      </c>
      <c r="J12" s="36" t="n">
        <f aca="false">J9-J11</f>
        <v>50000</v>
      </c>
      <c r="K12" s="4" t="s">
        <v>160</v>
      </c>
    </row>
    <row r="13" customFormat="false" ht="30" hidden="false" customHeight="true" outlineLevel="0" collapsed="false">
      <c r="A13" s="3" t="s">
        <v>2</v>
      </c>
      <c r="B13" s="38" t="s">
        <v>101</v>
      </c>
      <c r="C13" s="38" t="s">
        <v>385</v>
      </c>
      <c r="D13" s="61" t="n">
        <v>0.43</v>
      </c>
      <c r="E13" s="62" t="n">
        <v>0.4</v>
      </c>
      <c r="F13" s="62" t="n">
        <v>0.35</v>
      </c>
      <c r="G13" s="62" t="n">
        <v>0.33</v>
      </c>
      <c r="H13" s="62" t="n">
        <v>0.33</v>
      </c>
      <c r="I13" s="62" t="n">
        <v>0.33</v>
      </c>
      <c r="J13" s="62" t="n">
        <v>0.33</v>
      </c>
      <c r="K13" s="4" t="s">
        <v>160</v>
      </c>
    </row>
    <row r="14" customFormat="false" ht="30" hidden="false" customHeight="true" outlineLevel="0" collapsed="false">
      <c r="A14" s="3" t="s">
        <v>2</v>
      </c>
      <c r="B14" s="38" t="s">
        <v>101</v>
      </c>
      <c r="C14" s="38" t="s">
        <v>386</v>
      </c>
      <c r="D14" s="36" t="n">
        <v>148</v>
      </c>
      <c r="E14" s="63" t="n">
        <v>120</v>
      </c>
      <c r="F14" s="63" t="n">
        <v>90</v>
      </c>
      <c r="G14" s="63" t="n">
        <v>75</v>
      </c>
      <c r="H14" s="63" t="n">
        <v>60</v>
      </c>
      <c r="I14" s="63" t="n">
        <v>60</v>
      </c>
      <c r="J14" s="63" t="n">
        <v>60</v>
      </c>
      <c r="K14" s="4" t="s">
        <v>387</v>
      </c>
    </row>
    <row r="15" customFormat="false" ht="30" hidden="false" customHeight="true" outlineLevel="0" collapsed="false">
      <c r="A15" s="3" t="s">
        <v>2</v>
      </c>
      <c r="B15" s="38" t="s">
        <v>101</v>
      </c>
      <c r="C15" s="38" t="s">
        <v>388</v>
      </c>
      <c r="D15" s="36" t="n">
        <f aca="false">ROUND(D12*D13*D14/365/0.85,0)</f>
        <v>833</v>
      </c>
      <c r="E15" s="36" t="n">
        <f aca="false">ROUND(E12*E13*E14/365/0.85,0)</f>
        <v>1733</v>
      </c>
      <c r="F15" s="36" t="n">
        <f aca="false">ROUND(F12*F13*F14/365/0.85,0)</f>
        <v>1954</v>
      </c>
      <c r="G15" s="36" t="n">
        <f aca="false">ROUND(G12*G13*G14/365/0.85,0)</f>
        <v>2680</v>
      </c>
      <c r="H15" s="36" t="n">
        <f aca="false">ROUND(H12*H13*H14/365/0.85,0)</f>
        <v>2712</v>
      </c>
      <c r="I15" s="36" t="n">
        <f aca="false">ROUND(I12*I13*I14/365/0.85,0)</f>
        <v>3031</v>
      </c>
      <c r="J15" s="36" t="n">
        <f aca="false">ROUND(J12*J13*J14/365/0.85,0)</f>
        <v>3191</v>
      </c>
      <c r="K15" s="4" t="s">
        <v>160</v>
      </c>
    </row>
    <row r="16" customFormat="false" ht="42" hidden="false" customHeight="true" outlineLevel="0" collapsed="false">
      <c r="A16" s="3" t="s">
        <v>2</v>
      </c>
      <c r="B16" s="38" t="s">
        <v>101</v>
      </c>
      <c r="C16" s="38" t="s">
        <v>389</v>
      </c>
      <c r="D16" s="36" t="n">
        <v>4</v>
      </c>
      <c r="E16" s="66" t="s">
        <v>390</v>
      </c>
      <c r="F16" s="66" t="s">
        <v>391</v>
      </c>
      <c r="G16" s="66" t="s">
        <v>392</v>
      </c>
      <c r="H16" s="63" t="n">
        <v>8</v>
      </c>
      <c r="I16" s="63" t="n">
        <v>8</v>
      </c>
      <c r="J16" s="63" t="n">
        <v>8</v>
      </c>
      <c r="K16" s="4" t="s">
        <v>393</v>
      </c>
    </row>
    <row r="17" customFormat="false" ht="30" hidden="false" customHeight="true" outlineLevel="0" collapsed="false">
      <c r="A17" s="3" t="s">
        <v>2</v>
      </c>
      <c r="B17" s="38" t="s">
        <v>101</v>
      </c>
      <c r="C17" s="38" t="s">
        <v>394</v>
      </c>
      <c r="D17" s="36" t="n">
        <v>339000</v>
      </c>
      <c r="E17" s="36" t="n">
        <f aca="false">339000+50000-E9</f>
        <v>375000</v>
      </c>
      <c r="F17" s="36" t="n">
        <f aca="false">E17+50000-F9</f>
        <v>397500</v>
      </c>
      <c r="G17" s="36" t="n">
        <f aca="false">F17+50000-G9</f>
        <v>391500</v>
      </c>
      <c r="H17" s="36" t="n">
        <f aca="false">G17+50000-H9</f>
        <v>356500</v>
      </c>
      <c r="I17" s="36" t="n">
        <f aca="false">H17+50000-I9</f>
        <v>311500</v>
      </c>
      <c r="J17" s="36" t="n">
        <f aca="false">I17+50000-J9</f>
        <v>261500</v>
      </c>
      <c r="K17" s="4" t="s">
        <v>160</v>
      </c>
    </row>
    <row r="18" customFormat="false" ht="30" hidden="false" customHeight="true" outlineLevel="0" collapsed="false">
      <c r="A18" s="3" t="s">
        <v>2</v>
      </c>
      <c r="B18" s="38" t="s">
        <v>101</v>
      </c>
      <c r="C18" s="38" t="s">
        <v>395</v>
      </c>
      <c r="D18" s="38" t="s">
        <v>150</v>
      </c>
      <c r="E18" s="63" t="n">
        <v>7</v>
      </c>
      <c r="F18" s="63" t="n">
        <v>1</v>
      </c>
      <c r="G18" s="63" t="n">
        <v>1</v>
      </c>
      <c r="H18" s="63" t="n">
        <v>1</v>
      </c>
      <c r="I18" s="63" t="n">
        <v>1</v>
      </c>
      <c r="J18" s="63" t="n">
        <v>1</v>
      </c>
      <c r="K18" s="4" t="s">
        <v>396</v>
      </c>
    </row>
    <row r="19" customFormat="false" ht="30" hidden="false" customHeight="true" outlineLevel="0" collapsed="false">
      <c r="A19" s="3" t="s">
        <v>2</v>
      </c>
      <c r="B19" s="38" t="s">
        <v>133</v>
      </c>
      <c r="C19" s="38" t="s">
        <v>397</v>
      </c>
      <c r="D19" s="38" t="s">
        <v>150</v>
      </c>
      <c r="E19" s="62" t="n">
        <v>0.5</v>
      </c>
      <c r="F19" s="62" t="n">
        <v>1</v>
      </c>
      <c r="G19" s="62" t="n">
        <v>1</v>
      </c>
      <c r="H19" s="62" t="n">
        <v>1</v>
      </c>
      <c r="I19" s="62" t="n">
        <v>1</v>
      </c>
      <c r="J19" s="62" t="n">
        <v>1</v>
      </c>
      <c r="K19" s="4" t="s">
        <v>398</v>
      </c>
    </row>
    <row r="20" customFormat="false" ht="30" hidden="false" customHeight="true" outlineLevel="0" collapsed="false">
      <c r="A20" s="3" t="s">
        <v>2</v>
      </c>
      <c r="B20" s="38" t="s">
        <v>133</v>
      </c>
      <c r="C20" s="38" t="s">
        <v>399</v>
      </c>
      <c r="D20" s="36" t="n">
        <v>825</v>
      </c>
      <c r="E20" s="63" t="n">
        <v>2000</v>
      </c>
      <c r="F20" s="63" t="n">
        <v>4000</v>
      </c>
      <c r="G20" s="63" t="n">
        <v>6000</v>
      </c>
      <c r="H20" s="63" t="n">
        <v>7000</v>
      </c>
      <c r="I20" s="63" t="n">
        <v>8000</v>
      </c>
      <c r="J20" s="63" t="n">
        <v>8000</v>
      </c>
      <c r="K20" s="4" t="s">
        <v>400</v>
      </c>
    </row>
    <row r="21" customFormat="false" ht="30" hidden="false" customHeight="true" outlineLevel="0" collapsed="false">
      <c r="A21" s="3" t="s">
        <v>2</v>
      </c>
      <c r="B21" s="38" t="s">
        <v>133</v>
      </c>
      <c r="C21" s="38" t="s">
        <v>401</v>
      </c>
      <c r="D21" s="38" t="s">
        <v>150</v>
      </c>
      <c r="E21" s="63" t="n">
        <v>500</v>
      </c>
      <c r="F21" s="63" t="n">
        <v>1000</v>
      </c>
      <c r="G21" s="63" t="n">
        <v>1500</v>
      </c>
      <c r="H21" s="63" t="n">
        <v>2000</v>
      </c>
      <c r="I21" s="63" t="n">
        <v>2000</v>
      </c>
      <c r="J21" s="63" t="n">
        <v>2000</v>
      </c>
      <c r="K21" s="4" t="s">
        <v>402</v>
      </c>
    </row>
    <row r="23" customFormat="false" ht="21.75" hidden="false" customHeight="true" outlineLevel="0" collapsed="false">
      <c r="A23" s="46" t="s">
        <v>403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</row>
    <row r="24" customFormat="false" ht="30" hidden="false" customHeight="true" outlineLevel="0" collapsed="false">
      <c r="A24" s="5" t="s">
        <v>4</v>
      </c>
      <c r="B24" s="38" t="s">
        <v>404</v>
      </c>
      <c r="C24" s="38" t="s">
        <v>405</v>
      </c>
      <c r="D24" s="38" t="s">
        <v>150</v>
      </c>
      <c r="E24" s="62" t="n">
        <v>1</v>
      </c>
      <c r="F24" s="62" t="n">
        <v>1</v>
      </c>
      <c r="G24" s="62" t="n">
        <v>1</v>
      </c>
      <c r="H24" s="62" t="n">
        <v>1</v>
      </c>
      <c r="I24" s="62" t="n">
        <v>1</v>
      </c>
      <c r="J24" s="62" t="n">
        <v>1</v>
      </c>
      <c r="K24" s="4" t="s">
        <v>406</v>
      </c>
    </row>
    <row r="25" customFormat="false" ht="30" hidden="false" customHeight="true" outlineLevel="0" collapsed="false">
      <c r="A25" s="5" t="s">
        <v>4</v>
      </c>
      <c r="B25" s="38" t="s">
        <v>404</v>
      </c>
      <c r="C25" s="38" t="s">
        <v>407</v>
      </c>
      <c r="D25" s="38" t="s">
        <v>150</v>
      </c>
      <c r="E25" s="63" t="n">
        <v>0</v>
      </c>
      <c r="F25" s="63" t="n">
        <v>0</v>
      </c>
      <c r="G25" s="63" t="n">
        <v>0</v>
      </c>
      <c r="H25" s="63" t="n">
        <v>0</v>
      </c>
      <c r="I25" s="63" t="n">
        <v>0</v>
      </c>
      <c r="J25" s="63" t="n">
        <v>0</v>
      </c>
      <c r="K25" s="4" t="s">
        <v>408</v>
      </c>
    </row>
    <row r="26" customFormat="false" ht="30" hidden="false" customHeight="true" outlineLevel="0" collapsed="false">
      <c r="A26" s="5" t="s">
        <v>4</v>
      </c>
      <c r="B26" s="38" t="s">
        <v>404</v>
      </c>
      <c r="C26" s="38" t="s">
        <v>409</v>
      </c>
      <c r="D26" s="61" t="n">
        <v>0.1</v>
      </c>
      <c r="E26" s="62" t="n">
        <v>0.3</v>
      </c>
      <c r="F26" s="62" t="n">
        <v>0.6</v>
      </c>
      <c r="G26" s="62" t="n">
        <v>0.8</v>
      </c>
      <c r="H26" s="62" t="n">
        <v>1</v>
      </c>
      <c r="I26" s="62" t="n">
        <v>1</v>
      </c>
      <c r="J26" s="62" t="n">
        <v>1</v>
      </c>
      <c r="K26" s="4" t="s">
        <v>160</v>
      </c>
    </row>
    <row r="27" customFormat="false" ht="30" hidden="false" customHeight="true" outlineLevel="0" collapsed="false">
      <c r="A27" s="5" t="s">
        <v>4</v>
      </c>
      <c r="B27" s="38" t="s">
        <v>69</v>
      </c>
      <c r="C27" s="38" t="s">
        <v>410</v>
      </c>
      <c r="D27" s="38" t="s">
        <v>150</v>
      </c>
      <c r="E27" s="62" t="n">
        <v>1</v>
      </c>
      <c r="F27" s="62" t="n">
        <v>1</v>
      </c>
      <c r="G27" s="62" t="n">
        <v>1</v>
      </c>
      <c r="H27" s="62" t="n">
        <v>1</v>
      </c>
      <c r="I27" s="62" t="n">
        <v>1</v>
      </c>
      <c r="J27" s="62" t="n">
        <v>1</v>
      </c>
      <c r="K27" s="4" t="s">
        <v>411</v>
      </c>
    </row>
    <row r="28" customFormat="false" ht="42" hidden="false" customHeight="true" outlineLevel="0" collapsed="false">
      <c r="A28" s="5" t="s">
        <v>4</v>
      </c>
      <c r="B28" s="38" t="s">
        <v>69</v>
      </c>
      <c r="C28" s="38" t="s">
        <v>412</v>
      </c>
      <c r="D28" s="38" t="s">
        <v>413</v>
      </c>
      <c r="E28" s="66" t="s">
        <v>414</v>
      </c>
      <c r="F28" s="66" t="s">
        <v>414</v>
      </c>
      <c r="G28" s="66" t="s">
        <v>414</v>
      </c>
      <c r="H28" s="66" t="s">
        <v>414</v>
      </c>
      <c r="I28" s="66" t="s">
        <v>414</v>
      </c>
      <c r="J28" s="66" t="s">
        <v>414</v>
      </c>
      <c r="K28" s="4" t="s">
        <v>415</v>
      </c>
    </row>
    <row r="29" customFormat="false" ht="30" hidden="false" customHeight="true" outlineLevel="0" collapsed="false">
      <c r="A29" s="5" t="s">
        <v>4</v>
      </c>
      <c r="B29" s="38" t="s">
        <v>69</v>
      </c>
      <c r="C29" s="38" t="s">
        <v>416</v>
      </c>
      <c r="D29" s="38" t="s">
        <v>150</v>
      </c>
      <c r="E29" s="63" t="n">
        <v>2000</v>
      </c>
      <c r="F29" s="63" t="n">
        <v>4000</v>
      </c>
      <c r="G29" s="63" t="n">
        <v>5000</v>
      </c>
      <c r="H29" s="63" t="n">
        <v>5000</v>
      </c>
      <c r="I29" s="63" t="n">
        <v>5000</v>
      </c>
      <c r="J29" s="63" t="n">
        <v>5000</v>
      </c>
      <c r="K29" s="4" t="s">
        <v>160</v>
      </c>
    </row>
    <row r="30" customFormat="false" ht="42" hidden="false" customHeight="true" outlineLevel="0" collapsed="false">
      <c r="A30" s="5" t="s">
        <v>4</v>
      </c>
      <c r="B30" s="38" t="s">
        <v>93</v>
      </c>
      <c r="C30" s="38" t="s">
        <v>417</v>
      </c>
      <c r="D30" s="38" t="s">
        <v>413</v>
      </c>
      <c r="E30" s="66" t="s">
        <v>414</v>
      </c>
      <c r="F30" s="66" t="s">
        <v>414</v>
      </c>
      <c r="G30" s="66" t="s">
        <v>414</v>
      </c>
      <c r="H30" s="66" t="s">
        <v>414</v>
      </c>
      <c r="I30" s="66" t="s">
        <v>414</v>
      </c>
      <c r="J30" s="66" t="s">
        <v>414</v>
      </c>
      <c r="K30" s="4" t="s">
        <v>418</v>
      </c>
    </row>
    <row r="31" customFormat="false" ht="30" hidden="false" customHeight="true" outlineLevel="0" collapsed="false">
      <c r="A31" s="5" t="s">
        <v>4</v>
      </c>
      <c r="B31" s="38" t="s">
        <v>93</v>
      </c>
      <c r="C31" s="38" t="s">
        <v>419</v>
      </c>
      <c r="D31" s="36" t="n">
        <v>12</v>
      </c>
      <c r="E31" s="63" t="n">
        <v>6</v>
      </c>
      <c r="F31" s="63" t="n">
        <v>3</v>
      </c>
      <c r="G31" s="63" t="n">
        <v>3</v>
      </c>
      <c r="H31" s="63" t="n">
        <v>3</v>
      </c>
      <c r="I31" s="63" t="n">
        <v>3</v>
      </c>
      <c r="J31" s="63" t="n">
        <v>3</v>
      </c>
      <c r="K31" s="4" t="s">
        <v>420</v>
      </c>
    </row>
    <row r="32" customFormat="false" ht="30" hidden="false" customHeight="true" outlineLevel="0" collapsed="false">
      <c r="A32" s="5" t="s">
        <v>4</v>
      </c>
      <c r="B32" s="38" t="s">
        <v>93</v>
      </c>
      <c r="C32" s="38" t="s">
        <v>421</v>
      </c>
      <c r="D32" s="38" t="s">
        <v>150</v>
      </c>
      <c r="E32" s="62" t="n">
        <v>1</v>
      </c>
      <c r="F32" s="62" t="n">
        <v>1</v>
      </c>
      <c r="G32" s="62" t="n">
        <v>1</v>
      </c>
      <c r="H32" s="62" t="n">
        <v>1</v>
      </c>
      <c r="I32" s="62" t="n">
        <v>1</v>
      </c>
      <c r="J32" s="62" t="n">
        <v>1</v>
      </c>
      <c r="K32" s="4" t="s">
        <v>160</v>
      </c>
    </row>
    <row r="33" customFormat="false" ht="30" hidden="false" customHeight="true" outlineLevel="0" collapsed="false">
      <c r="A33" s="5" t="s">
        <v>4</v>
      </c>
      <c r="B33" s="38" t="s">
        <v>93</v>
      </c>
      <c r="C33" s="38" t="s">
        <v>422</v>
      </c>
      <c r="D33" s="38" t="s">
        <v>150</v>
      </c>
      <c r="E33" s="62" t="n">
        <v>0.5</v>
      </c>
      <c r="F33" s="62" t="n">
        <v>0.8</v>
      </c>
      <c r="G33" s="62" t="n">
        <v>1</v>
      </c>
      <c r="H33" s="62" t="n">
        <v>1</v>
      </c>
      <c r="I33" s="62" t="n">
        <v>1</v>
      </c>
      <c r="J33" s="62" t="n">
        <v>1</v>
      </c>
      <c r="K33" s="4" t="s">
        <v>160</v>
      </c>
    </row>
    <row r="34" customFormat="false" ht="30" hidden="false" customHeight="true" outlineLevel="0" collapsed="false">
      <c r="A34" s="5" t="s">
        <v>4</v>
      </c>
      <c r="B34" s="38" t="s">
        <v>423</v>
      </c>
      <c r="C34" s="38" t="s">
        <v>424</v>
      </c>
      <c r="D34" s="38" t="s">
        <v>150</v>
      </c>
      <c r="E34" s="62" t="n">
        <v>1</v>
      </c>
      <c r="F34" s="62" t="n">
        <v>1</v>
      </c>
      <c r="G34" s="62" t="n">
        <v>1</v>
      </c>
      <c r="H34" s="62" t="n">
        <v>1</v>
      </c>
      <c r="I34" s="62" t="n">
        <v>1</v>
      </c>
      <c r="J34" s="62" t="n">
        <v>1</v>
      </c>
      <c r="K34" s="4" t="s">
        <v>425</v>
      </c>
    </row>
    <row r="35" customFormat="false" ht="30" hidden="false" customHeight="true" outlineLevel="0" collapsed="false">
      <c r="A35" s="5" t="s">
        <v>4</v>
      </c>
      <c r="B35" s="38" t="s">
        <v>426</v>
      </c>
      <c r="C35" s="38" t="s">
        <v>427</v>
      </c>
      <c r="D35" s="38" t="s">
        <v>150</v>
      </c>
      <c r="E35" s="63" t="n">
        <v>500</v>
      </c>
      <c r="F35" s="63" t="n">
        <v>1000</v>
      </c>
      <c r="G35" s="63" t="n">
        <v>2000</v>
      </c>
      <c r="H35" s="63" t="n">
        <v>3000</v>
      </c>
      <c r="I35" s="63" t="n">
        <v>3000</v>
      </c>
      <c r="J35" s="63" t="n">
        <v>3000</v>
      </c>
      <c r="K35" s="4" t="s">
        <v>428</v>
      </c>
    </row>
    <row r="36" customFormat="false" ht="42" hidden="false" customHeight="true" outlineLevel="0" collapsed="false">
      <c r="A36" s="5" t="s">
        <v>4</v>
      </c>
      <c r="B36" s="38" t="s">
        <v>429</v>
      </c>
      <c r="C36" s="38" t="s">
        <v>430</v>
      </c>
      <c r="D36" s="38" t="s">
        <v>431</v>
      </c>
      <c r="E36" s="66" t="s">
        <v>432</v>
      </c>
      <c r="F36" s="66" t="s">
        <v>413</v>
      </c>
      <c r="G36" s="66" t="s">
        <v>413</v>
      </c>
      <c r="H36" s="66" t="s">
        <v>413</v>
      </c>
      <c r="I36" s="66" t="s">
        <v>413</v>
      </c>
      <c r="J36" s="66" t="s">
        <v>413</v>
      </c>
      <c r="K36" s="4" t="s">
        <v>433</v>
      </c>
    </row>
    <row r="38" customFormat="false" ht="21.75" hidden="false" customHeight="true" outlineLevel="0" collapsed="false">
      <c r="A38" s="46" t="s">
        <v>434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</row>
    <row r="39" customFormat="false" ht="30" hidden="false" customHeight="true" outlineLevel="0" collapsed="false">
      <c r="A39" s="6" t="s">
        <v>6</v>
      </c>
      <c r="B39" s="38" t="s">
        <v>40</v>
      </c>
      <c r="C39" s="38" t="s">
        <v>435</v>
      </c>
      <c r="D39" s="36" t="n">
        <v>217448</v>
      </c>
      <c r="E39" s="63" t="n">
        <v>120000</v>
      </c>
      <c r="F39" s="63" t="n">
        <v>60000</v>
      </c>
      <c r="G39" s="63" t="n">
        <v>40000</v>
      </c>
      <c r="H39" s="63" t="n">
        <v>30000</v>
      </c>
      <c r="I39" s="63" t="n">
        <v>30000</v>
      </c>
      <c r="J39" s="63" t="n">
        <v>30000</v>
      </c>
      <c r="K39" s="4" t="s">
        <v>436</v>
      </c>
    </row>
    <row r="40" customFormat="false" ht="42" hidden="false" customHeight="true" outlineLevel="0" collapsed="false">
      <c r="A40" s="6" t="s">
        <v>6</v>
      </c>
      <c r="B40" s="38" t="s">
        <v>40</v>
      </c>
      <c r="C40" s="38" t="s">
        <v>437</v>
      </c>
      <c r="D40" s="38" t="s">
        <v>413</v>
      </c>
      <c r="E40" s="66" t="s">
        <v>438</v>
      </c>
      <c r="F40" s="66" t="s">
        <v>439</v>
      </c>
      <c r="G40" s="66" t="s">
        <v>439</v>
      </c>
      <c r="H40" s="66" t="s">
        <v>439</v>
      </c>
      <c r="I40" s="66" t="s">
        <v>439</v>
      </c>
      <c r="J40" s="66" t="s">
        <v>439</v>
      </c>
      <c r="K40" s="4" t="s">
        <v>440</v>
      </c>
    </row>
    <row r="41" customFormat="false" ht="30" hidden="false" customHeight="true" outlineLevel="0" collapsed="false">
      <c r="A41" s="6" t="s">
        <v>6</v>
      </c>
      <c r="B41" s="38" t="s">
        <v>40</v>
      </c>
      <c r="C41" s="38" t="s">
        <v>441</v>
      </c>
      <c r="D41" s="38" t="s">
        <v>150</v>
      </c>
      <c r="E41" s="63" t="n">
        <v>100</v>
      </c>
      <c r="F41" s="63" t="n">
        <v>1000</v>
      </c>
      <c r="G41" s="63" t="n">
        <v>2000</v>
      </c>
      <c r="H41" s="63" t="n">
        <v>3000</v>
      </c>
      <c r="I41" s="63" t="n">
        <v>3000</v>
      </c>
      <c r="J41" s="63" t="n">
        <v>3000</v>
      </c>
      <c r="K41" s="4" t="s">
        <v>442</v>
      </c>
    </row>
    <row r="42" customFormat="false" ht="42" hidden="false" customHeight="true" outlineLevel="0" collapsed="false">
      <c r="A42" s="6" t="s">
        <v>6</v>
      </c>
      <c r="B42" s="38" t="s">
        <v>35</v>
      </c>
      <c r="C42" s="38" t="s">
        <v>443</v>
      </c>
      <c r="D42" s="38" t="s">
        <v>413</v>
      </c>
      <c r="E42" s="66" t="s">
        <v>444</v>
      </c>
      <c r="F42" s="66" t="s">
        <v>445</v>
      </c>
      <c r="G42" s="66" t="s">
        <v>446</v>
      </c>
      <c r="H42" s="66" t="s">
        <v>439</v>
      </c>
      <c r="I42" s="66" t="s">
        <v>439</v>
      </c>
      <c r="J42" s="66" t="s">
        <v>439</v>
      </c>
      <c r="K42" s="4" t="s">
        <v>447</v>
      </c>
    </row>
    <row r="43" customFormat="false" ht="30" hidden="false" customHeight="true" outlineLevel="0" collapsed="false">
      <c r="A43" s="6" t="s">
        <v>6</v>
      </c>
      <c r="B43" s="38" t="s">
        <v>35</v>
      </c>
      <c r="C43" s="38" t="s">
        <v>448</v>
      </c>
      <c r="D43" s="36" t="n">
        <v>0</v>
      </c>
      <c r="E43" s="63" t="n">
        <v>0</v>
      </c>
      <c r="F43" s="63" t="n">
        <v>0</v>
      </c>
      <c r="G43" s="63" t="n">
        <v>0</v>
      </c>
      <c r="H43" s="63" t="n">
        <v>500</v>
      </c>
      <c r="I43" s="63" t="n">
        <v>2000</v>
      </c>
      <c r="J43" s="63" t="n">
        <v>3000</v>
      </c>
      <c r="K43" s="4" t="s">
        <v>449</v>
      </c>
    </row>
    <row r="44" customFormat="false" ht="30" hidden="false" customHeight="true" outlineLevel="0" collapsed="false">
      <c r="A44" s="6" t="s">
        <v>6</v>
      </c>
      <c r="B44" s="38" t="s">
        <v>35</v>
      </c>
      <c r="C44" s="38" t="s">
        <v>450</v>
      </c>
      <c r="D44" s="38" t="s">
        <v>150</v>
      </c>
      <c r="E44" s="63" t="n">
        <v>1000</v>
      </c>
      <c r="F44" s="63" t="n">
        <v>3000</v>
      </c>
      <c r="G44" s="63" t="n">
        <v>5000</v>
      </c>
      <c r="H44" s="63" t="n">
        <v>8000</v>
      </c>
      <c r="I44" s="63" t="n">
        <v>10000</v>
      </c>
      <c r="J44" s="63" t="n">
        <v>10000</v>
      </c>
      <c r="K44" s="4" t="s">
        <v>451</v>
      </c>
    </row>
    <row r="46" customFormat="false" ht="21.75" hidden="false" customHeight="true" outlineLevel="0" collapsed="false">
      <c r="A46" s="46" t="s">
        <v>452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</row>
    <row r="47" customFormat="false" ht="30" hidden="false" customHeight="true" outlineLevel="0" collapsed="false">
      <c r="A47" s="7" t="s">
        <v>8</v>
      </c>
      <c r="B47" s="38" t="s">
        <v>55</v>
      </c>
      <c r="C47" s="38" t="s">
        <v>453</v>
      </c>
      <c r="D47" s="38" t="s">
        <v>150</v>
      </c>
      <c r="E47" s="63" t="n">
        <v>2000</v>
      </c>
      <c r="F47" s="63" t="n">
        <v>4000</v>
      </c>
      <c r="G47" s="63" t="n">
        <v>5000</v>
      </c>
      <c r="H47" s="63" t="n">
        <v>5000</v>
      </c>
      <c r="I47" s="63" t="n">
        <v>5000</v>
      </c>
      <c r="J47" s="63" t="n">
        <v>5000</v>
      </c>
      <c r="K47" s="4" t="s">
        <v>454</v>
      </c>
    </row>
    <row r="48" customFormat="false" ht="42" hidden="false" customHeight="true" outlineLevel="0" collapsed="false">
      <c r="A48" s="7" t="s">
        <v>8</v>
      </c>
      <c r="B48" s="38" t="s">
        <v>55</v>
      </c>
      <c r="C48" s="38" t="s">
        <v>455</v>
      </c>
      <c r="D48" s="38" t="s">
        <v>413</v>
      </c>
      <c r="E48" s="66" t="s">
        <v>456</v>
      </c>
      <c r="F48" s="66" t="s">
        <v>457</v>
      </c>
      <c r="G48" s="66" t="s">
        <v>439</v>
      </c>
      <c r="H48" s="66" t="s">
        <v>439</v>
      </c>
      <c r="I48" s="66" t="s">
        <v>439</v>
      </c>
      <c r="J48" s="66" t="s">
        <v>439</v>
      </c>
      <c r="K48" s="4" t="s">
        <v>458</v>
      </c>
    </row>
    <row r="49" customFormat="false" ht="30" hidden="false" customHeight="true" outlineLevel="0" collapsed="false">
      <c r="A49" s="7" t="s">
        <v>8</v>
      </c>
      <c r="B49" s="38" t="s">
        <v>459</v>
      </c>
      <c r="C49" s="38" t="s">
        <v>460</v>
      </c>
      <c r="D49" s="55" t="n">
        <f aca="false">'Funnel Italia'!D27</f>
        <v>160600</v>
      </c>
      <c r="E49" s="36" t="n">
        <f aca="false">D49-E50-E51</f>
        <v>100600</v>
      </c>
      <c r="F49" s="36" t="n">
        <f aca="false">E49-F50-F51</f>
        <v>0</v>
      </c>
      <c r="G49" s="36" t="n">
        <v>0</v>
      </c>
      <c r="H49" s="36" t="n">
        <v>0</v>
      </c>
      <c r="I49" s="36" t="n">
        <v>0</v>
      </c>
      <c r="J49" s="36" t="n">
        <v>0</v>
      </c>
      <c r="K49" s="4" t="s">
        <v>461</v>
      </c>
    </row>
    <row r="50" customFormat="false" ht="30" hidden="false" customHeight="true" outlineLevel="0" collapsed="false">
      <c r="A50" s="7" t="s">
        <v>8</v>
      </c>
      <c r="B50" s="38" t="s">
        <v>459</v>
      </c>
      <c r="C50" s="38" t="s">
        <v>462</v>
      </c>
      <c r="D50" s="38" t="s">
        <v>150</v>
      </c>
      <c r="E50" s="63" t="n">
        <v>20000</v>
      </c>
      <c r="F50" s="63" t="n">
        <v>20000</v>
      </c>
      <c r="G50" s="63" t="n">
        <v>0</v>
      </c>
      <c r="H50" s="63" t="n">
        <v>0</v>
      </c>
      <c r="I50" s="63" t="n">
        <v>0</v>
      </c>
      <c r="J50" s="63" t="n">
        <v>0</v>
      </c>
      <c r="K50" s="4" t="s">
        <v>463</v>
      </c>
    </row>
    <row r="51" customFormat="false" ht="30" hidden="false" customHeight="true" outlineLevel="0" collapsed="false">
      <c r="A51" s="7" t="s">
        <v>8</v>
      </c>
      <c r="B51" s="38" t="s">
        <v>459</v>
      </c>
      <c r="C51" s="38" t="s">
        <v>464</v>
      </c>
      <c r="D51" s="38" t="s">
        <v>150</v>
      </c>
      <c r="E51" s="63" t="n">
        <v>40000</v>
      </c>
      <c r="F51" s="36" t="n">
        <f aca="false">D49-E50-E51-F50</f>
        <v>80600</v>
      </c>
      <c r="G51" s="63" t="n">
        <v>0</v>
      </c>
      <c r="H51" s="63" t="n">
        <v>0</v>
      </c>
      <c r="I51" s="63" t="n">
        <v>0</v>
      </c>
      <c r="J51" s="63" t="n">
        <v>0</v>
      </c>
      <c r="K51" s="4" t="s">
        <v>465</v>
      </c>
    </row>
    <row r="53" customFormat="false" ht="21.75" hidden="false" customHeight="true" outlineLevel="0" collapsed="false">
      <c r="A53" s="46" t="s">
        <v>10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</row>
    <row r="54" customFormat="false" ht="42" hidden="false" customHeight="true" outlineLevel="0" collapsed="false">
      <c r="A54" s="8" t="s">
        <v>10</v>
      </c>
      <c r="B54" s="38" t="s">
        <v>466</v>
      </c>
      <c r="C54" s="38" t="s">
        <v>467</v>
      </c>
      <c r="D54" s="38"/>
      <c r="E54" s="66"/>
      <c r="F54" s="66"/>
      <c r="G54" s="66"/>
      <c r="H54" s="66"/>
      <c r="I54" s="66"/>
      <c r="J54" s="66"/>
      <c r="K54" s="4"/>
    </row>
    <row r="56" customFormat="false" ht="15" hidden="false" customHeight="false" outlineLevel="0" collapsed="false">
      <c r="A56" s="57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true"/>
  </sheetPr>
  <dimension ref="A1:H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469</v>
      </c>
    </row>
    <row r="2" customFormat="false" ht="15" hidden="false" customHeight="false" outlineLevel="0" collapsed="false">
      <c r="A2" s="2" t="s">
        <v>470</v>
      </c>
    </row>
    <row r="4" customFormat="false" ht="21.75" hidden="false" customHeight="true" outlineLevel="0" collapsed="false">
      <c r="A4" s="46" t="s">
        <v>471</v>
      </c>
      <c r="B4" s="47"/>
      <c r="C4" s="47"/>
      <c r="D4" s="47"/>
      <c r="E4" s="47"/>
      <c r="F4" s="47"/>
      <c r="G4" s="47"/>
      <c r="H4" s="47"/>
    </row>
    <row r="5" customFormat="false" ht="30" hidden="false" customHeight="true" outlineLevel="0" collapsed="false">
      <c r="A5" s="9" t="s">
        <v>472</v>
      </c>
      <c r="B5" s="9" t="s">
        <v>473</v>
      </c>
      <c r="C5" s="9" t="s">
        <v>474</v>
      </c>
      <c r="D5" s="9" t="s">
        <v>475</v>
      </c>
      <c r="E5" s="9" t="s">
        <v>476</v>
      </c>
      <c r="F5" s="9" t="s">
        <v>477</v>
      </c>
      <c r="G5" s="9" t="s">
        <v>478</v>
      </c>
      <c r="H5" s="9" t="s">
        <v>479</v>
      </c>
    </row>
    <row r="6" customFormat="false" ht="75" hidden="false" customHeight="true" outlineLevel="0" collapsed="false">
      <c r="A6" s="64" t="s">
        <v>480</v>
      </c>
      <c r="B6" s="38" t="s">
        <v>481</v>
      </c>
      <c r="C6" s="38" t="s">
        <v>482</v>
      </c>
      <c r="D6" s="38" t="s">
        <v>483</v>
      </c>
      <c r="E6" s="38" t="s">
        <v>484</v>
      </c>
      <c r="F6" s="38" t="s">
        <v>485</v>
      </c>
      <c r="G6" s="38" t="s">
        <v>486</v>
      </c>
      <c r="H6" s="67" t="s">
        <v>487</v>
      </c>
    </row>
    <row r="7" customFormat="false" ht="75" hidden="false" customHeight="true" outlineLevel="0" collapsed="false">
      <c r="A7" s="64" t="s">
        <v>488</v>
      </c>
      <c r="B7" s="38" t="s">
        <v>489</v>
      </c>
      <c r="C7" s="38" t="s">
        <v>490</v>
      </c>
      <c r="D7" s="38" t="s">
        <v>491</v>
      </c>
      <c r="E7" s="38" t="s">
        <v>492</v>
      </c>
      <c r="F7" s="38" t="s">
        <v>493</v>
      </c>
      <c r="G7" s="38" t="s">
        <v>494</v>
      </c>
      <c r="H7" s="67" t="s">
        <v>487</v>
      </c>
    </row>
    <row r="8" customFormat="false" ht="75" hidden="false" customHeight="true" outlineLevel="0" collapsed="false">
      <c r="A8" s="64" t="s">
        <v>495</v>
      </c>
      <c r="B8" s="38" t="s">
        <v>496</v>
      </c>
      <c r="C8" s="38" t="s">
        <v>497</v>
      </c>
      <c r="D8" s="38" t="s">
        <v>498</v>
      </c>
      <c r="E8" s="38" t="s">
        <v>499</v>
      </c>
      <c r="F8" s="38" t="s">
        <v>500</v>
      </c>
      <c r="G8" s="38" t="s">
        <v>501</v>
      </c>
      <c r="H8" s="5" t="s">
        <v>502</v>
      </c>
    </row>
    <row r="9" customFormat="false" ht="75" hidden="false" customHeight="true" outlineLevel="0" collapsed="false">
      <c r="A9" s="64" t="s">
        <v>503</v>
      </c>
      <c r="B9" s="38" t="s">
        <v>504</v>
      </c>
      <c r="C9" s="38" t="s">
        <v>505</v>
      </c>
      <c r="D9" s="38" t="s">
        <v>506</v>
      </c>
      <c r="E9" s="38" t="s">
        <v>507</v>
      </c>
      <c r="F9" s="38" t="s">
        <v>508</v>
      </c>
      <c r="G9" s="38" t="s">
        <v>509</v>
      </c>
      <c r="H9" s="67" t="s">
        <v>487</v>
      </c>
    </row>
    <row r="10" customFormat="false" ht="75" hidden="false" customHeight="true" outlineLevel="0" collapsed="false">
      <c r="A10" s="64" t="s">
        <v>510</v>
      </c>
      <c r="B10" s="38" t="s">
        <v>511</v>
      </c>
      <c r="C10" s="38" t="s">
        <v>512</v>
      </c>
      <c r="D10" s="38" t="s">
        <v>513</v>
      </c>
      <c r="E10" s="38" t="s">
        <v>514</v>
      </c>
      <c r="F10" s="38" t="s">
        <v>515</v>
      </c>
      <c r="G10" s="38" t="s">
        <v>516</v>
      </c>
      <c r="H10" s="5" t="s">
        <v>502</v>
      </c>
    </row>
    <row r="11" customFormat="false" ht="75" hidden="false" customHeight="true" outlineLevel="0" collapsed="false">
      <c r="A11" s="64" t="s">
        <v>517</v>
      </c>
      <c r="B11" s="38" t="s">
        <v>518</v>
      </c>
      <c r="C11" s="38" t="s">
        <v>519</v>
      </c>
      <c r="D11" s="38" t="s">
        <v>520</v>
      </c>
      <c r="E11" s="38" t="s">
        <v>521</v>
      </c>
      <c r="F11" s="38" t="s">
        <v>522</v>
      </c>
      <c r="G11" s="38" t="s">
        <v>523</v>
      </c>
      <c r="H11" s="5" t="s">
        <v>502</v>
      </c>
    </row>
    <row r="12" customFormat="false" ht="75" hidden="false" customHeight="true" outlineLevel="0" collapsed="false">
      <c r="A12" s="64" t="s">
        <v>524</v>
      </c>
      <c r="B12" s="38" t="s">
        <v>525</v>
      </c>
      <c r="C12" s="38" t="s">
        <v>526</v>
      </c>
      <c r="D12" s="38" t="s">
        <v>527</v>
      </c>
      <c r="E12" s="38" t="s">
        <v>528</v>
      </c>
      <c r="F12" s="38" t="s">
        <v>529</v>
      </c>
      <c r="G12" s="38" t="s">
        <v>530</v>
      </c>
      <c r="H12" s="5" t="s">
        <v>502</v>
      </c>
    </row>
    <row r="14" customFormat="false" ht="21.75" hidden="false" customHeight="true" outlineLevel="0" collapsed="false">
      <c r="A14" s="46" t="s">
        <v>531</v>
      </c>
      <c r="B14" s="47"/>
      <c r="C14" s="47"/>
      <c r="D14" s="47"/>
      <c r="E14" s="47"/>
      <c r="F14" s="47"/>
      <c r="G14" s="47"/>
      <c r="H14" s="47"/>
    </row>
    <row r="15" customFormat="false" ht="30" hidden="false" customHeight="true" outlineLevel="0" collapsed="false">
      <c r="A15" s="9" t="s">
        <v>104</v>
      </c>
      <c r="B15" s="9" t="s">
        <v>532</v>
      </c>
      <c r="C15" s="9" t="s">
        <v>533</v>
      </c>
      <c r="D15" s="9" t="s">
        <v>534</v>
      </c>
      <c r="E15" s="9" t="s">
        <v>369</v>
      </c>
      <c r="F15" s="9" t="s">
        <v>535</v>
      </c>
      <c r="G15" s="9" t="s">
        <v>536</v>
      </c>
      <c r="H15" s="9" t="s">
        <v>479</v>
      </c>
    </row>
    <row r="16" customFormat="false" ht="60" hidden="false" customHeight="true" outlineLevel="0" collapsed="false">
      <c r="A16" s="64" t="s">
        <v>537</v>
      </c>
      <c r="B16" s="38" t="s">
        <v>538</v>
      </c>
      <c r="C16" s="38" t="s">
        <v>539</v>
      </c>
      <c r="D16" s="38" t="s">
        <v>540</v>
      </c>
      <c r="E16" s="38" t="s">
        <v>541</v>
      </c>
      <c r="F16" s="38" t="s">
        <v>414</v>
      </c>
      <c r="G16" s="38" t="s">
        <v>542</v>
      </c>
      <c r="H16" s="67" t="s">
        <v>487</v>
      </c>
    </row>
    <row r="17" customFormat="false" ht="60" hidden="false" customHeight="true" outlineLevel="0" collapsed="false">
      <c r="A17" s="64" t="s">
        <v>543</v>
      </c>
      <c r="B17" s="38" t="s">
        <v>544</v>
      </c>
      <c r="C17" s="38" t="s">
        <v>545</v>
      </c>
      <c r="D17" s="38" t="s">
        <v>546</v>
      </c>
      <c r="E17" s="38" t="s">
        <v>547</v>
      </c>
      <c r="F17" s="38" t="s">
        <v>548</v>
      </c>
      <c r="G17" s="38" t="s">
        <v>549</v>
      </c>
      <c r="H17" s="67" t="s">
        <v>487</v>
      </c>
    </row>
    <row r="18" customFormat="false" ht="60" hidden="false" customHeight="true" outlineLevel="0" collapsed="false">
      <c r="A18" s="64" t="s">
        <v>550</v>
      </c>
      <c r="B18" s="38" t="s">
        <v>551</v>
      </c>
      <c r="C18" s="38" t="s">
        <v>552</v>
      </c>
      <c r="D18" s="38" t="s">
        <v>553</v>
      </c>
      <c r="E18" s="38" t="s">
        <v>554</v>
      </c>
      <c r="F18" s="38" t="s">
        <v>414</v>
      </c>
      <c r="G18" s="38" t="s">
        <v>555</v>
      </c>
      <c r="H18" s="67" t="s">
        <v>487</v>
      </c>
    </row>
    <row r="19" customFormat="false" ht="60" hidden="false" customHeight="true" outlineLevel="0" collapsed="false">
      <c r="A19" s="64" t="s">
        <v>556</v>
      </c>
      <c r="B19" s="38" t="s">
        <v>557</v>
      </c>
      <c r="C19" s="38" t="s">
        <v>558</v>
      </c>
      <c r="D19" s="38" t="s">
        <v>559</v>
      </c>
      <c r="E19" s="38" t="s">
        <v>560</v>
      </c>
      <c r="F19" s="38" t="s">
        <v>561</v>
      </c>
      <c r="G19" s="38" t="s">
        <v>562</v>
      </c>
      <c r="H19" s="5" t="s">
        <v>502</v>
      </c>
    </row>
    <row r="20" customFormat="false" ht="60" hidden="false" customHeight="true" outlineLevel="0" collapsed="false">
      <c r="A20" s="64" t="s">
        <v>563</v>
      </c>
      <c r="B20" s="38" t="s">
        <v>564</v>
      </c>
      <c r="C20" s="38" t="s">
        <v>565</v>
      </c>
      <c r="D20" s="38" t="s">
        <v>566</v>
      </c>
      <c r="E20" s="38" t="s">
        <v>567</v>
      </c>
      <c r="F20" s="38" t="s">
        <v>568</v>
      </c>
      <c r="G20" s="38" t="s">
        <v>569</v>
      </c>
      <c r="H20" s="5" t="s">
        <v>502</v>
      </c>
    </row>
    <row r="21" customFormat="false" ht="60" hidden="false" customHeight="true" outlineLevel="0" collapsed="false">
      <c r="A21" s="64" t="s">
        <v>570</v>
      </c>
      <c r="B21" s="38" t="s">
        <v>571</v>
      </c>
      <c r="C21" s="38" t="s">
        <v>572</v>
      </c>
      <c r="D21" s="38" t="s">
        <v>573</v>
      </c>
      <c r="E21" s="38" t="s">
        <v>574</v>
      </c>
      <c r="F21" s="38" t="s">
        <v>575</v>
      </c>
      <c r="G21" s="38" t="s">
        <v>576</v>
      </c>
      <c r="H21" s="5" t="s">
        <v>502</v>
      </c>
    </row>
    <row r="22" customFormat="false" ht="60" hidden="false" customHeight="true" outlineLevel="0" collapsed="false">
      <c r="A22" s="64" t="s">
        <v>577</v>
      </c>
      <c r="B22" s="38" t="s">
        <v>578</v>
      </c>
      <c r="C22" s="38" t="s">
        <v>579</v>
      </c>
      <c r="D22" s="38" t="s">
        <v>580</v>
      </c>
      <c r="E22" s="38" t="s">
        <v>184</v>
      </c>
      <c r="F22" s="38" t="s">
        <v>581</v>
      </c>
      <c r="G22" s="38" t="s">
        <v>582</v>
      </c>
      <c r="H22" s="5" t="s">
        <v>502</v>
      </c>
    </row>
    <row r="23" customFormat="false" ht="60" hidden="false" customHeight="true" outlineLevel="0" collapsed="false">
      <c r="A23" s="64" t="s">
        <v>583</v>
      </c>
      <c r="B23" s="38" t="s">
        <v>584</v>
      </c>
      <c r="C23" s="38" t="s">
        <v>585</v>
      </c>
      <c r="D23" s="38" t="s">
        <v>586</v>
      </c>
      <c r="E23" s="38" t="s">
        <v>587</v>
      </c>
      <c r="F23" s="38" t="s">
        <v>588</v>
      </c>
      <c r="G23" s="38" t="s">
        <v>160</v>
      </c>
      <c r="H23" s="67" t="s">
        <v>487</v>
      </c>
    </row>
    <row r="25" customFormat="false" ht="21.75" hidden="false" customHeight="true" outlineLevel="0" collapsed="false">
      <c r="A25" s="46" t="s">
        <v>589</v>
      </c>
      <c r="B25" s="47"/>
      <c r="C25" s="47"/>
      <c r="D25" s="47"/>
      <c r="E25" s="47"/>
      <c r="F25" s="47"/>
      <c r="G25" s="47"/>
      <c r="H25" s="47"/>
    </row>
    <row r="26" customFormat="false" ht="30" hidden="false" customHeight="true" outlineLevel="0" collapsed="false">
      <c r="A26" s="9" t="s">
        <v>13</v>
      </c>
      <c r="B26" s="9" t="s">
        <v>590</v>
      </c>
      <c r="C26" s="9" t="s">
        <v>591</v>
      </c>
      <c r="D26" s="9" t="s">
        <v>534</v>
      </c>
      <c r="E26" s="9" t="s">
        <v>592</v>
      </c>
      <c r="F26" s="9" t="s">
        <v>593</v>
      </c>
      <c r="G26" s="9" t="s">
        <v>594</v>
      </c>
      <c r="H26" s="9" t="s">
        <v>479</v>
      </c>
    </row>
    <row r="27" customFormat="false" ht="60" hidden="false" customHeight="true" outlineLevel="0" collapsed="false">
      <c r="A27" s="64" t="s">
        <v>595</v>
      </c>
      <c r="B27" s="38" t="s">
        <v>596</v>
      </c>
      <c r="C27" s="38" t="s">
        <v>597</v>
      </c>
      <c r="D27" s="38" t="s">
        <v>598</v>
      </c>
      <c r="E27" s="38" t="s">
        <v>599</v>
      </c>
      <c r="F27" s="38" t="s">
        <v>600</v>
      </c>
      <c r="G27" s="38" t="s">
        <v>601</v>
      </c>
      <c r="H27" s="67" t="s">
        <v>487</v>
      </c>
    </row>
    <row r="28" customFormat="false" ht="60" hidden="false" customHeight="true" outlineLevel="0" collapsed="false">
      <c r="A28" s="64" t="s">
        <v>602</v>
      </c>
      <c r="B28" s="38" t="s">
        <v>603</v>
      </c>
      <c r="C28" s="38" t="s">
        <v>604</v>
      </c>
      <c r="D28" s="38" t="s">
        <v>605</v>
      </c>
      <c r="E28" s="38" t="s">
        <v>606</v>
      </c>
      <c r="F28" s="38" t="s">
        <v>607</v>
      </c>
      <c r="G28" s="38" t="s">
        <v>608</v>
      </c>
      <c r="H28" s="5" t="s">
        <v>502</v>
      </c>
    </row>
    <row r="29" customFormat="false" ht="60" hidden="false" customHeight="true" outlineLevel="0" collapsed="false">
      <c r="A29" s="64" t="s">
        <v>609</v>
      </c>
      <c r="B29" s="38" t="s">
        <v>610</v>
      </c>
      <c r="C29" s="38" t="s">
        <v>611</v>
      </c>
      <c r="D29" s="38" t="s">
        <v>612</v>
      </c>
      <c r="E29" s="38" t="s">
        <v>613</v>
      </c>
      <c r="F29" s="38" t="s">
        <v>614</v>
      </c>
      <c r="G29" s="38" t="s">
        <v>615</v>
      </c>
      <c r="H29" s="5" t="s">
        <v>502</v>
      </c>
    </row>
    <row r="30" customFormat="false" ht="60" hidden="false" customHeight="true" outlineLevel="0" collapsed="false">
      <c r="A30" s="64" t="s">
        <v>616</v>
      </c>
      <c r="B30" s="38" t="s">
        <v>617</v>
      </c>
      <c r="C30" s="38" t="s">
        <v>618</v>
      </c>
      <c r="D30" s="38" t="s">
        <v>619</v>
      </c>
      <c r="E30" s="38" t="s">
        <v>620</v>
      </c>
      <c r="F30" s="38" t="s">
        <v>607</v>
      </c>
      <c r="G30" s="38" t="s">
        <v>621</v>
      </c>
      <c r="H30" s="5" t="s">
        <v>502</v>
      </c>
    </row>
    <row r="31" customFormat="false" ht="60" hidden="false" customHeight="true" outlineLevel="0" collapsed="false">
      <c r="A31" s="64" t="s">
        <v>622</v>
      </c>
      <c r="B31" s="38" t="s">
        <v>623</v>
      </c>
      <c r="C31" s="38" t="s">
        <v>624</v>
      </c>
      <c r="D31" s="38" t="s">
        <v>625</v>
      </c>
      <c r="E31" s="38" t="s">
        <v>626</v>
      </c>
      <c r="F31" s="38" t="s">
        <v>627</v>
      </c>
      <c r="G31" s="38" t="s">
        <v>628</v>
      </c>
      <c r="H31" s="5" t="s">
        <v>502</v>
      </c>
    </row>
    <row r="32" customFormat="false" ht="60" hidden="false" customHeight="true" outlineLevel="0" collapsed="false">
      <c r="A32" s="64" t="s">
        <v>629</v>
      </c>
      <c r="B32" s="38" t="s">
        <v>630</v>
      </c>
      <c r="C32" s="38" t="s">
        <v>631</v>
      </c>
      <c r="D32" s="38" t="s">
        <v>632</v>
      </c>
      <c r="E32" s="38" t="s">
        <v>633</v>
      </c>
      <c r="F32" s="38" t="s">
        <v>634</v>
      </c>
      <c r="G32" s="38" t="s">
        <v>635</v>
      </c>
      <c r="H32" s="5" t="s">
        <v>502</v>
      </c>
    </row>
    <row r="33" customFormat="false" ht="60" hidden="false" customHeight="true" outlineLevel="0" collapsed="false">
      <c r="A33" s="64" t="s">
        <v>636</v>
      </c>
      <c r="B33" s="38" t="s">
        <v>637</v>
      </c>
      <c r="C33" s="38" t="s">
        <v>638</v>
      </c>
      <c r="D33" s="38" t="s">
        <v>639</v>
      </c>
      <c r="E33" s="38" t="s">
        <v>640</v>
      </c>
      <c r="F33" s="38" t="s">
        <v>641</v>
      </c>
      <c r="G33" s="38" t="s">
        <v>642</v>
      </c>
      <c r="H33" s="5" t="s">
        <v>502</v>
      </c>
    </row>
    <row r="34" customFormat="false" ht="60" hidden="false" customHeight="true" outlineLevel="0" collapsed="false">
      <c r="A34" s="64" t="s">
        <v>643</v>
      </c>
      <c r="B34" s="38" t="s">
        <v>644</v>
      </c>
      <c r="C34" s="38" t="s">
        <v>645</v>
      </c>
      <c r="D34" s="38" t="s">
        <v>646</v>
      </c>
      <c r="E34" s="38" t="s">
        <v>647</v>
      </c>
      <c r="F34" s="38" t="s">
        <v>648</v>
      </c>
      <c r="G34" s="38" t="s">
        <v>649</v>
      </c>
      <c r="H34" s="5" t="s">
        <v>502</v>
      </c>
    </row>
    <row r="35" customFormat="false" ht="60" hidden="false" customHeight="true" outlineLevel="0" collapsed="false">
      <c r="A35" s="64" t="s">
        <v>650</v>
      </c>
      <c r="B35" s="38" t="s">
        <v>651</v>
      </c>
      <c r="C35" s="38" t="s">
        <v>652</v>
      </c>
      <c r="D35" s="38" t="s">
        <v>653</v>
      </c>
      <c r="E35" s="38" t="s">
        <v>165</v>
      </c>
      <c r="F35" s="38" t="s">
        <v>648</v>
      </c>
      <c r="G35" s="38" t="s">
        <v>165</v>
      </c>
      <c r="H35" s="5" t="s">
        <v>502</v>
      </c>
    </row>
    <row r="37" customFormat="false" ht="21.75" hidden="false" customHeight="true" outlineLevel="0" collapsed="false">
      <c r="A37" s="46" t="s">
        <v>654</v>
      </c>
      <c r="B37" s="47"/>
      <c r="C37" s="47"/>
      <c r="D37" s="47"/>
      <c r="E37" s="47"/>
      <c r="F37" s="47"/>
      <c r="G37" s="47"/>
      <c r="H37" s="47"/>
    </row>
    <row r="38" customFormat="false" ht="30" hidden="false" customHeight="true" outlineLevel="0" collapsed="false">
      <c r="A38" s="9" t="s">
        <v>655</v>
      </c>
      <c r="B38" s="9" t="s">
        <v>656</v>
      </c>
      <c r="C38" s="9" t="s">
        <v>657</v>
      </c>
      <c r="D38" s="9" t="s">
        <v>658</v>
      </c>
      <c r="E38" s="9" t="s">
        <v>659</v>
      </c>
      <c r="F38" s="9" t="s">
        <v>535</v>
      </c>
      <c r="G38" s="9" t="s">
        <v>660</v>
      </c>
      <c r="H38" s="9" t="s">
        <v>479</v>
      </c>
    </row>
    <row r="39" customFormat="false" ht="48" hidden="false" customHeight="true" outlineLevel="0" collapsed="false">
      <c r="A39" s="64" t="s">
        <v>168</v>
      </c>
      <c r="B39" s="38" t="s">
        <v>661</v>
      </c>
      <c r="C39" s="38" t="s">
        <v>662</v>
      </c>
      <c r="D39" s="38" t="s">
        <v>663</v>
      </c>
      <c r="E39" s="38" t="s">
        <v>664</v>
      </c>
      <c r="F39" s="38" t="s">
        <v>665</v>
      </c>
      <c r="G39" s="38" t="s">
        <v>666</v>
      </c>
      <c r="H39" s="5" t="s">
        <v>502</v>
      </c>
    </row>
    <row r="40" customFormat="false" ht="48" hidden="false" customHeight="true" outlineLevel="0" collapsed="false">
      <c r="A40" s="64" t="s">
        <v>667</v>
      </c>
      <c r="B40" s="38" t="s">
        <v>668</v>
      </c>
      <c r="C40" s="38" t="s">
        <v>669</v>
      </c>
      <c r="D40" s="38" t="s">
        <v>670</v>
      </c>
      <c r="E40" s="38" t="s">
        <v>671</v>
      </c>
      <c r="F40" s="38" t="s">
        <v>672</v>
      </c>
      <c r="G40" s="38" t="s">
        <v>666</v>
      </c>
      <c r="H40" s="5" t="s">
        <v>502</v>
      </c>
    </row>
    <row r="41" customFormat="false" ht="48" hidden="false" customHeight="true" outlineLevel="0" collapsed="false">
      <c r="A41" s="64" t="s">
        <v>673</v>
      </c>
      <c r="B41" s="38" t="s">
        <v>674</v>
      </c>
      <c r="C41" s="38" t="s">
        <v>675</v>
      </c>
      <c r="D41" s="38" t="s">
        <v>676</v>
      </c>
      <c r="E41" s="38" t="s">
        <v>150</v>
      </c>
      <c r="F41" s="38" t="s">
        <v>677</v>
      </c>
      <c r="G41" s="38" t="s">
        <v>678</v>
      </c>
      <c r="H41" s="67" t="s">
        <v>487</v>
      </c>
    </row>
    <row r="42" customFormat="false" ht="48" hidden="false" customHeight="true" outlineLevel="0" collapsed="false">
      <c r="A42" s="64" t="s">
        <v>164</v>
      </c>
      <c r="B42" s="38" t="s">
        <v>679</v>
      </c>
      <c r="C42" s="38" t="s">
        <v>680</v>
      </c>
      <c r="D42" s="38" t="s">
        <v>681</v>
      </c>
      <c r="E42" s="38" t="s">
        <v>150</v>
      </c>
      <c r="F42" s="38" t="s">
        <v>672</v>
      </c>
      <c r="G42" s="38" t="s">
        <v>682</v>
      </c>
      <c r="H42" s="3" t="s">
        <v>683</v>
      </c>
    </row>
    <row r="43" customFormat="false" ht="48" hidden="false" customHeight="true" outlineLevel="0" collapsed="false">
      <c r="A43" s="64" t="s">
        <v>684</v>
      </c>
      <c r="B43" s="38" t="s">
        <v>685</v>
      </c>
      <c r="C43" s="38" t="s">
        <v>686</v>
      </c>
      <c r="D43" s="38" t="s">
        <v>687</v>
      </c>
      <c r="E43" s="38" t="s">
        <v>150</v>
      </c>
      <c r="F43" s="38" t="s">
        <v>672</v>
      </c>
      <c r="G43" s="38" t="s">
        <v>688</v>
      </c>
      <c r="H43" s="5" t="s">
        <v>502</v>
      </c>
    </row>
    <row r="44" customFormat="false" ht="48" hidden="false" customHeight="true" outlineLevel="0" collapsed="false">
      <c r="A44" s="64" t="s">
        <v>689</v>
      </c>
      <c r="B44" s="38" t="s">
        <v>690</v>
      </c>
      <c r="C44" s="38" t="s">
        <v>691</v>
      </c>
      <c r="D44" s="38" t="s">
        <v>692</v>
      </c>
      <c r="E44" s="38" t="s">
        <v>150</v>
      </c>
      <c r="F44" s="38" t="s">
        <v>693</v>
      </c>
      <c r="G44" s="38" t="s">
        <v>688</v>
      </c>
      <c r="H44" s="3" t="s">
        <v>683</v>
      </c>
    </row>
    <row r="45" customFormat="false" ht="48" hidden="false" customHeight="true" outlineLevel="0" collapsed="false">
      <c r="A45" s="64" t="s">
        <v>694</v>
      </c>
      <c r="B45" s="38" t="s">
        <v>695</v>
      </c>
      <c r="C45" s="38" t="s">
        <v>696</v>
      </c>
      <c r="D45" s="38" t="s">
        <v>697</v>
      </c>
      <c r="E45" s="38" t="s">
        <v>150</v>
      </c>
      <c r="F45" s="38" t="s">
        <v>698</v>
      </c>
      <c r="G45" s="38" t="s">
        <v>699</v>
      </c>
      <c r="H45" s="3" t="s">
        <v>683</v>
      </c>
    </row>
    <row r="46" customFormat="false" ht="48" hidden="false" customHeight="true" outlineLevel="0" collapsed="false">
      <c r="A46" s="64" t="s">
        <v>700</v>
      </c>
      <c r="B46" s="38" t="s">
        <v>701</v>
      </c>
      <c r="C46" s="38" t="s">
        <v>702</v>
      </c>
      <c r="D46" s="38" t="s">
        <v>703</v>
      </c>
      <c r="E46" s="38" t="s">
        <v>150</v>
      </c>
      <c r="F46" s="38" t="s">
        <v>698</v>
      </c>
      <c r="G46" s="38" t="s">
        <v>688</v>
      </c>
      <c r="H46" s="5" t="s">
        <v>502</v>
      </c>
    </row>
    <row r="47" customFormat="false" ht="48" hidden="false" customHeight="true" outlineLevel="0" collapsed="false">
      <c r="A47" s="64" t="s">
        <v>704</v>
      </c>
      <c r="B47" s="38" t="s">
        <v>705</v>
      </c>
      <c r="C47" s="38" t="s">
        <v>675</v>
      </c>
      <c r="D47" s="38"/>
      <c r="E47" s="38" t="s">
        <v>150</v>
      </c>
      <c r="F47" s="38" t="s">
        <v>706</v>
      </c>
      <c r="G47" s="38" t="s">
        <v>699</v>
      </c>
      <c r="H47" s="67" t="s">
        <v>487</v>
      </c>
    </row>
    <row r="48" customFormat="false" ht="48" hidden="false" customHeight="true" outlineLevel="0" collapsed="false">
      <c r="A48" s="64" t="s">
        <v>707</v>
      </c>
      <c r="B48" s="38" t="s">
        <v>708</v>
      </c>
      <c r="C48" s="38" t="s">
        <v>709</v>
      </c>
      <c r="D48" s="38" t="s">
        <v>710</v>
      </c>
      <c r="E48" s="38" t="s">
        <v>150</v>
      </c>
      <c r="F48" s="38" t="s">
        <v>711</v>
      </c>
      <c r="G48" s="38" t="s">
        <v>712</v>
      </c>
      <c r="H48" s="67" t="s">
        <v>487</v>
      </c>
    </row>
    <row r="49" customFormat="false" ht="48" hidden="false" customHeight="true" outlineLevel="0" collapsed="false">
      <c r="A49" s="64" t="s">
        <v>629</v>
      </c>
      <c r="B49" s="38" t="s">
        <v>713</v>
      </c>
      <c r="C49" s="38" t="s">
        <v>714</v>
      </c>
      <c r="D49" s="38"/>
      <c r="E49" s="38" t="s">
        <v>150</v>
      </c>
      <c r="F49" s="38" t="s">
        <v>715</v>
      </c>
      <c r="G49" s="38" t="s">
        <v>716</v>
      </c>
      <c r="H49" s="5" t="s">
        <v>502</v>
      </c>
    </row>
    <row r="51" customFormat="false" ht="21.75" hidden="false" customHeight="true" outlineLevel="0" collapsed="false">
      <c r="A51" s="46" t="s">
        <v>717</v>
      </c>
      <c r="B51" s="47"/>
      <c r="C51" s="47"/>
      <c r="D51" s="47"/>
      <c r="E51" s="47"/>
      <c r="F51" s="47"/>
      <c r="G51" s="47"/>
      <c r="H51" s="47"/>
    </row>
    <row r="52" customFormat="false" ht="30" hidden="false" customHeight="true" outlineLevel="0" collapsed="false">
      <c r="A52" s="9" t="s">
        <v>718</v>
      </c>
      <c r="B52" s="9" t="s">
        <v>719</v>
      </c>
      <c r="C52" s="9" t="s">
        <v>473</v>
      </c>
      <c r="D52" s="9" t="s">
        <v>720</v>
      </c>
      <c r="E52" s="9" t="s">
        <v>721</v>
      </c>
      <c r="F52" s="9" t="s">
        <v>593</v>
      </c>
      <c r="G52" s="9" t="s">
        <v>722</v>
      </c>
      <c r="H52" s="9" t="s">
        <v>479</v>
      </c>
    </row>
    <row r="53" customFormat="false" ht="69.75" hidden="false" customHeight="true" outlineLevel="0" collapsed="false">
      <c r="A53" s="64" t="s">
        <v>723</v>
      </c>
      <c r="B53" s="38" t="s">
        <v>724</v>
      </c>
      <c r="C53" s="38" t="s">
        <v>725</v>
      </c>
      <c r="D53" s="38" t="s">
        <v>726</v>
      </c>
      <c r="E53" s="38" t="s">
        <v>727</v>
      </c>
      <c r="F53" s="38" t="s">
        <v>728</v>
      </c>
      <c r="G53" s="38" t="s">
        <v>729</v>
      </c>
      <c r="H53" s="67" t="s">
        <v>487</v>
      </c>
    </row>
    <row r="54" customFormat="false" ht="69.75" hidden="false" customHeight="true" outlineLevel="0" collapsed="false">
      <c r="A54" s="64" t="s">
        <v>730</v>
      </c>
      <c r="B54" s="38" t="s">
        <v>731</v>
      </c>
      <c r="C54" s="38" t="s">
        <v>732</v>
      </c>
      <c r="D54" s="38" t="s">
        <v>733</v>
      </c>
      <c r="E54" s="38" t="s">
        <v>734</v>
      </c>
      <c r="F54" s="38" t="s">
        <v>735</v>
      </c>
      <c r="G54" s="38" t="s">
        <v>736</v>
      </c>
      <c r="H54" s="5" t="s">
        <v>502</v>
      </c>
    </row>
    <row r="55" customFormat="false" ht="69.75" hidden="false" customHeight="true" outlineLevel="0" collapsed="false">
      <c r="A55" s="64" t="s">
        <v>737</v>
      </c>
      <c r="B55" s="38" t="s">
        <v>738</v>
      </c>
      <c r="C55" s="38" t="s">
        <v>739</v>
      </c>
      <c r="D55" s="38" t="s">
        <v>740</v>
      </c>
      <c r="E55" s="38" t="s">
        <v>741</v>
      </c>
      <c r="F55" s="38" t="s">
        <v>742</v>
      </c>
      <c r="G55" s="38" t="s">
        <v>743</v>
      </c>
      <c r="H55" s="5" t="s">
        <v>502</v>
      </c>
    </row>
    <row r="56" customFormat="false" ht="69.75" hidden="false" customHeight="true" outlineLevel="0" collapsed="false">
      <c r="A56" s="64" t="s">
        <v>744</v>
      </c>
      <c r="B56" s="38" t="s">
        <v>745</v>
      </c>
      <c r="C56" s="38" t="s">
        <v>746</v>
      </c>
      <c r="D56" s="38" t="s">
        <v>747</v>
      </c>
      <c r="E56" s="38" t="s">
        <v>748</v>
      </c>
      <c r="F56" s="38" t="s">
        <v>749</v>
      </c>
      <c r="G56" s="38" t="s">
        <v>750</v>
      </c>
      <c r="H56" s="5" t="s">
        <v>502</v>
      </c>
    </row>
    <row r="57" customFormat="false" ht="69.75" hidden="false" customHeight="true" outlineLevel="0" collapsed="false">
      <c r="A57" s="64" t="s">
        <v>751</v>
      </c>
      <c r="B57" s="38" t="s">
        <v>752</v>
      </c>
      <c r="C57" s="38" t="s">
        <v>753</v>
      </c>
      <c r="D57" s="38" t="s">
        <v>754</v>
      </c>
      <c r="E57" s="38" t="s">
        <v>755</v>
      </c>
      <c r="F57" s="38" t="s">
        <v>756</v>
      </c>
      <c r="G57" s="38" t="s">
        <v>757</v>
      </c>
      <c r="H57" s="5" t="s">
        <v>502</v>
      </c>
    </row>
    <row r="58" customFormat="false" ht="69.75" hidden="false" customHeight="true" outlineLevel="0" collapsed="false">
      <c r="A58" s="64" t="s">
        <v>758</v>
      </c>
      <c r="B58" s="38" t="s">
        <v>759</v>
      </c>
      <c r="C58" s="38" t="s">
        <v>760</v>
      </c>
      <c r="D58" s="38" t="s">
        <v>761</v>
      </c>
      <c r="E58" s="38" t="s">
        <v>762</v>
      </c>
      <c r="F58" s="38" t="s">
        <v>749</v>
      </c>
      <c r="G58" s="38" t="s">
        <v>763</v>
      </c>
      <c r="H58" s="67" t="s">
        <v>487</v>
      </c>
    </row>
    <row r="59" customFormat="false" ht="69.75" hidden="false" customHeight="true" outlineLevel="0" collapsed="false">
      <c r="A59" s="64" t="s">
        <v>764</v>
      </c>
      <c r="B59" s="38" t="s">
        <v>765</v>
      </c>
      <c r="C59" s="38" t="s">
        <v>766</v>
      </c>
      <c r="D59" s="38" t="s">
        <v>767</v>
      </c>
      <c r="E59" s="38" t="s">
        <v>768</v>
      </c>
      <c r="F59" s="38" t="s">
        <v>769</v>
      </c>
      <c r="G59" s="38" t="s">
        <v>770</v>
      </c>
      <c r="H59" s="67" t="s">
        <v>487</v>
      </c>
    </row>
    <row r="60" customFormat="false" ht="69.75" hidden="false" customHeight="true" outlineLevel="0" collapsed="false">
      <c r="A60" s="64" t="s">
        <v>771</v>
      </c>
      <c r="B60" s="38" t="s">
        <v>772</v>
      </c>
      <c r="C60" s="38" t="s">
        <v>773</v>
      </c>
      <c r="D60" s="38" t="s">
        <v>774</v>
      </c>
      <c r="E60" s="38" t="s">
        <v>727</v>
      </c>
      <c r="F60" s="38" t="s">
        <v>775</v>
      </c>
      <c r="G60" s="38" t="s">
        <v>776</v>
      </c>
      <c r="H60" s="5" t="s">
        <v>502</v>
      </c>
    </row>
    <row r="61" customFormat="false" ht="27.75" hidden="false" customHeight="true" outlineLevel="0" collapsed="false">
      <c r="A61" s="56" t="s">
        <v>777</v>
      </c>
      <c r="B61" s="56"/>
      <c r="C61" s="56"/>
      <c r="D61" s="56"/>
      <c r="E61" s="56"/>
      <c r="F61" s="56"/>
      <c r="G61" s="56"/>
      <c r="H61" s="56"/>
    </row>
    <row r="63" customFormat="false" ht="21.75" hidden="false" customHeight="true" outlineLevel="0" collapsed="false">
      <c r="A63" s="46" t="s">
        <v>778</v>
      </c>
      <c r="B63" s="47"/>
      <c r="C63" s="47"/>
      <c r="D63" s="47"/>
      <c r="E63" s="47"/>
      <c r="F63" s="47"/>
      <c r="G63" s="47"/>
      <c r="H63" s="47"/>
    </row>
    <row r="64" customFormat="false" ht="30" hidden="false" customHeight="true" outlineLevel="0" collapsed="false">
      <c r="A64" s="9" t="s">
        <v>13</v>
      </c>
      <c r="B64" s="9" t="s">
        <v>779</v>
      </c>
      <c r="C64" s="9" t="s">
        <v>780</v>
      </c>
      <c r="D64" s="9" t="s">
        <v>721</v>
      </c>
      <c r="E64" s="9" t="s">
        <v>781</v>
      </c>
      <c r="F64" s="9" t="s">
        <v>782</v>
      </c>
      <c r="G64" s="9" t="s">
        <v>783</v>
      </c>
      <c r="H64" s="9"/>
    </row>
    <row r="65" customFormat="false" ht="45" hidden="false" customHeight="true" outlineLevel="0" collapsed="false">
      <c r="A65" s="64" t="s">
        <v>784</v>
      </c>
      <c r="B65" s="68" t="n">
        <v>2</v>
      </c>
      <c r="C65" s="68" t="n">
        <v>2</v>
      </c>
      <c r="D65" s="68" t="n">
        <v>4</v>
      </c>
      <c r="E65" s="69" t="n">
        <f aca="false">SUM(B65:D65)</f>
        <v>8</v>
      </c>
      <c r="F65" s="38" t="s">
        <v>785</v>
      </c>
      <c r="G65" s="38" t="s">
        <v>786</v>
      </c>
      <c r="H65" s="38"/>
    </row>
    <row r="66" customFormat="false" ht="45" hidden="false" customHeight="true" outlineLevel="0" collapsed="false">
      <c r="A66" s="64" t="s">
        <v>787</v>
      </c>
      <c r="B66" s="68" t="n">
        <v>2</v>
      </c>
      <c r="C66" s="68" t="n">
        <v>3</v>
      </c>
      <c r="D66" s="68" t="n">
        <v>5</v>
      </c>
      <c r="E66" s="69" t="n">
        <f aca="false">SUM(B66:D66)</f>
        <v>10</v>
      </c>
      <c r="F66" s="38" t="s">
        <v>788</v>
      </c>
      <c r="G66" s="38" t="s">
        <v>789</v>
      </c>
      <c r="H66" s="38"/>
    </row>
    <row r="67" customFormat="false" ht="45" hidden="false" customHeight="true" outlineLevel="0" collapsed="false">
      <c r="A67" s="64" t="s">
        <v>790</v>
      </c>
      <c r="B67" s="68" t="n">
        <v>3</v>
      </c>
      <c r="C67" s="68" t="n">
        <v>3</v>
      </c>
      <c r="D67" s="68" t="n">
        <v>4</v>
      </c>
      <c r="E67" s="69" t="n">
        <f aca="false">SUM(B67:D67)</f>
        <v>10</v>
      </c>
      <c r="F67" s="38" t="s">
        <v>791</v>
      </c>
      <c r="G67" s="38" t="s">
        <v>792</v>
      </c>
      <c r="H67" s="38"/>
    </row>
    <row r="68" customFormat="false" ht="45" hidden="false" customHeight="true" outlineLevel="0" collapsed="false">
      <c r="A68" s="64" t="s">
        <v>793</v>
      </c>
      <c r="B68" s="68" t="n">
        <v>4</v>
      </c>
      <c r="C68" s="68" t="n">
        <v>2</v>
      </c>
      <c r="D68" s="68" t="n">
        <v>4</v>
      </c>
      <c r="E68" s="69" t="n">
        <f aca="false">SUM(B68:D68)</f>
        <v>10</v>
      </c>
      <c r="F68" s="38" t="s">
        <v>794</v>
      </c>
      <c r="G68" s="38" t="s">
        <v>795</v>
      </c>
      <c r="H68" s="38"/>
    </row>
    <row r="69" customFormat="false" ht="45" hidden="false" customHeight="true" outlineLevel="0" collapsed="false">
      <c r="A69" s="64" t="s">
        <v>796</v>
      </c>
      <c r="B69" s="68" t="n">
        <v>3</v>
      </c>
      <c r="C69" s="68" t="n">
        <v>2</v>
      </c>
      <c r="D69" s="68" t="n">
        <v>4</v>
      </c>
      <c r="E69" s="69" t="n">
        <f aca="false">SUM(B69:D69)</f>
        <v>9</v>
      </c>
      <c r="F69" s="38" t="s">
        <v>797</v>
      </c>
      <c r="G69" s="38" t="s">
        <v>798</v>
      </c>
      <c r="H69" s="38"/>
    </row>
    <row r="70" customFormat="false" ht="45" hidden="false" customHeight="true" outlineLevel="0" collapsed="false">
      <c r="A70" s="64" t="s">
        <v>799</v>
      </c>
      <c r="B70" s="68" t="n">
        <v>2</v>
      </c>
      <c r="C70" s="68" t="n">
        <v>2</v>
      </c>
      <c r="D70" s="68" t="n">
        <v>3</v>
      </c>
      <c r="E70" s="69" t="n">
        <f aca="false">SUM(B70:D70)</f>
        <v>7</v>
      </c>
      <c r="F70" s="38" t="s">
        <v>800</v>
      </c>
      <c r="G70" s="38" t="s">
        <v>801</v>
      </c>
      <c r="H70" s="38"/>
    </row>
    <row r="71" customFormat="false" ht="45" hidden="false" customHeight="true" outlineLevel="0" collapsed="false">
      <c r="A71" s="64" t="s">
        <v>802</v>
      </c>
      <c r="B71" s="68" t="n">
        <v>4</v>
      </c>
      <c r="C71" s="68" t="n">
        <v>2</v>
      </c>
      <c r="D71" s="68" t="n">
        <v>3</v>
      </c>
      <c r="E71" s="69" t="n">
        <f aca="false">SUM(B71:D71)</f>
        <v>9</v>
      </c>
      <c r="F71" s="38" t="s">
        <v>803</v>
      </c>
      <c r="G71" s="38" t="s">
        <v>804</v>
      </c>
      <c r="H71" s="38"/>
    </row>
    <row r="72" customFormat="false" ht="45" hidden="false" customHeight="true" outlineLevel="0" collapsed="false">
      <c r="A72" s="64" t="s">
        <v>805</v>
      </c>
      <c r="B72" s="68" t="n">
        <v>5</v>
      </c>
      <c r="C72" s="68" t="n">
        <v>3</v>
      </c>
      <c r="D72" s="68" t="n">
        <v>5</v>
      </c>
      <c r="E72" s="69" t="n">
        <f aca="false">SUM(B72:D72)</f>
        <v>13</v>
      </c>
      <c r="F72" s="38" t="s">
        <v>713</v>
      </c>
      <c r="G72" s="38" t="s">
        <v>806</v>
      </c>
      <c r="H72" s="38"/>
    </row>
    <row r="73" customFormat="false" ht="45" hidden="false" customHeight="true" outlineLevel="0" collapsed="false">
      <c r="A73" s="64" t="s">
        <v>807</v>
      </c>
      <c r="B73" s="68" t="n">
        <v>4</v>
      </c>
      <c r="C73" s="68" t="n">
        <v>3</v>
      </c>
      <c r="D73" s="68" t="n">
        <v>4</v>
      </c>
      <c r="E73" s="69" t="n">
        <f aca="false">SUM(B73:D73)</f>
        <v>11</v>
      </c>
      <c r="F73" s="38" t="s">
        <v>808</v>
      </c>
      <c r="G73" s="38" t="s">
        <v>809</v>
      </c>
      <c r="H73" s="38"/>
    </row>
    <row r="75" customFormat="false" ht="15" hidden="false" customHeight="false" outlineLevel="0" collapsed="false">
      <c r="A75" s="57" t="s">
        <v>810</v>
      </c>
    </row>
  </sheetData>
  <mergeCells count="10">
    <mergeCell ref="A61:H61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1A42"/>
    <pageSetUpPr fitToPage="true"/>
  </sheetPr>
  <dimension ref="A1:A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4"/>
    <col collapsed="false" customWidth="true" hidden="false" outlineLevel="0" max="4" min="4" style="0" width="8"/>
    <col collapsed="false" customWidth="true" hidden="false" outlineLevel="0" max="31" min="5" style="0" width="12"/>
    <col collapsed="false" customWidth="true" hidden="false" outlineLevel="0" max="32" min="32" style="0" width="13"/>
  </cols>
  <sheetData>
    <row r="1" customFormat="false" ht="27.75" hidden="false" customHeight="true" outlineLevel="0" collapsed="false">
      <c r="A1" s="1" t="s">
        <v>811</v>
      </c>
    </row>
    <row r="2" customFormat="false" ht="15" hidden="false" customHeight="false" outlineLevel="0" collapsed="false">
      <c r="A2" s="2" t="s">
        <v>812</v>
      </c>
    </row>
    <row r="4" customFormat="false" ht="42" hidden="false" customHeight="true" outlineLevel="0" collapsed="false">
      <c r="A4" s="9" t="s">
        <v>12</v>
      </c>
      <c r="B4" s="9" t="s">
        <v>13</v>
      </c>
      <c r="C4" s="9"/>
      <c r="D4" s="9" t="s">
        <v>16</v>
      </c>
      <c r="E4" s="70" t="s">
        <v>813</v>
      </c>
      <c r="F4" s="70" t="s">
        <v>814</v>
      </c>
      <c r="G4" s="70" t="s">
        <v>815</v>
      </c>
      <c r="H4" s="70" t="s">
        <v>816</v>
      </c>
      <c r="I4" s="70" t="s">
        <v>817</v>
      </c>
      <c r="J4" s="70" t="s">
        <v>818</v>
      </c>
      <c r="K4" s="70" t="s">
        <v>819</v>
      </c>
      <c r="L4" s="70" t="s">
        <v>820</v>
      </c>
      <c r="M4" s="70" t="s">
        <v>821</v>
      </c>
      <c r="N4" s="70" t="s">
        <v>822</v>
      </c>
      <c r="O4" s="70" t="s">
        <v>823</v>
      </c>
      <c r="P4" s="70" t="s">
        <v>824</v>
      </c>
      <c r="Q4" s="70" t="s">
        <v>825</v>
      </c>
      <c r="R4" s="70" t="s">
        <v>826</v>
      </c>
      <c r="S4" s="70" t="s">
        <v>827</v>
      </c>
      <c r="T4" s="70" t="s">
        <v>828</v>
      </c>
      <c r="U4" s="70" t="s">
        <v>829</v>
      </c>
      <c r="V4" s="70" t="s">
        <v>830</v>
      </c>
      <c r="W4" s="70" t="s">
        <v>831</v>
      </c>
      <c r="X4" s="70" t="s">
        <v>832</v>
      </c>
      <c r="Y4" s="70" t="s">
        <v>833</v>
      </c>
      <c r="Z4" s="70" t="s">
        <v>55</v>
      </c>
      <c r="AA4" s="70" t="s">
        <v>834</v>
      </c>
      <c r="AB4" s="70" t="s">
        <v>835</v>
      </c>
      <c r="AC4" s="70" t="s">
        <v>836</v>
      </c>
      <c r="AD4" s="70" t="s">
        <v>837</v>
      </c>
      <c r="AE4" s="70" t="s">
        <v>838</v>
      </c>
      <c r="AF4" s="70" t="s">
        <v>839</v>
      </c>
    </row>
    <row r="5" customFormat="false" ht="15" hidden="false" customHeight="false" outlineLevel="0" collapsed="false">
      <c r="A5" s="10"/>
      <c r="B5" s="11" t="s">
        <v>840</v>
      </c>
      <c r="C5" s="12" t="s">
        <v>21</v>
      </c>
      <c r="D5" s="15"/>
      <c r="E5" s="13" t="n">
        <v>58943464</v>
      </c>
      <c r="F5" s="13" t="n">
        <v>9197213</v>
      </c>
      <c r="G5" s="13" t="n">
        <v>11883495</v>
      </c>
      <c r="H5" s="13" t="n">
        <v>6437360</v>
      </c>
      <c r="I5" s="13" t="n">
        <v>982966</v>
      </c>
      <c r="J5" s="13" t="n">
        <v>3874350</v>
      </c>
      <c r="K5" s="13" t="n">
        <v>5992734</v>
      </c>
      <c r="L5" s="13" t="n">
        <v>1369995</v>
      </c>
      <c r="M5" s="13" t="n">
        <v>5635971</v>
      </c>
      <c r="N5" s="13" t="n">
        <v>68882600</v>
      </c>
      <c r="O5" s="13" t="n">
        <v>83577140</v>
      </c>
      <c r="P5" s="13" t="n">
        <v>10372335</v>
      </c>
      <c r="Q5" s="13" t="n">
        <v>5440278</v>
      </c>
      <c r="R5" s="13" t="n">
        <v>1860565</v>
      </c>
      <c r="S5" s="13" t="n">
        <v>2890664</v>
      </c>
      <c r="T5" s="13" t="n">
        <v>681973</v>
      </c>
      <c r="U5" s="13" t="n">
        <v>574250</v>
      </c>
      <c r="V5" s="13" t="n">
        <v>18044027</v>
      </c>
      <c r="W5" s="13" t="n">
        <v>36497495</v>
      </c>
      <c r="X5" s="13" t="n">
        <v>10749635</v>
      </c>
      <c r="Y5" s="13" t="n">
        <v>10909500</v>
      </c>
      <c r="Z5" s="13" t="n">
        <v>19043151</v>
      </c>
      <c r="AA5" s="13" t="n">
        <v>5419451</v>
      </c>
      <c r="AB5" s="13" t="n">
        <v>2130850</v>
      </c>
      <c r="AC5" s="13" t="n">
        <v>49128297</v>
      </c>
      <c r="AD5" s="13" t="n">
        <v>10587710</v>
      </c>
      <c r="AE5" s="13" t="n">
        <v>9539502</v>
      </c>
      <c r="AF5" s="13" t="n">
        <f aca="false">SUM(E5:AE5)</f>
        <v>450646971</v>
      </c>
    </row>
    <row r="6" customFormat="false" ht="15" hidden="false" customHeight="false" outlineLevel="0" collapsed="false">
      <c r="A6" s="18" t="s">
        <v>23</v>
      </c>
      <c r="B6" s="19" t="s">
        <v>361</v>
      </c>
      <c r="C6" s="20" t="s">
        <v>21</v>
      </c>
      <c r="D6" s="23"/>
      <c r="E6" s="21" t="n">
        <v>53572213</v>
      </c>
      <c r="F6" s="21" t="n">
        <v>7341794</v>
      </c>
      <c r="G6" s="21" t="n">
        <v>10193392</v>
      </c>
      <c r="H6" s="21" t="n">
        <v>6284422</v>
      </c>
      <c r="I6" s="21" t="n">
        <v>739677</v>
      </c>
      <c r="J6" s="21" t="n">
        <v>3720379</v>
      </c>
      <c r="K6" s="21" t="n">
        <v>5315187</v>
      </c>
      <c r="L6" s="21" t="n">
        <v>1123385</v>
      </c>
      <c r="M6" s="21" t="n">
        <v>5224870</v>
      </c>
      <c r="N6" s="21" t="n">
        <v>62414394</v>
      </c>
      <c r="O6" s="21" t="n">
        <v>71184865</v>
      </c>
      <c r="P6" s="21" t="n">
        <v>9635274</v>
      </c>
      <c r="Q6" s="21" t="n">
        <v>4565956</v>
      </c>
      <c r="R6" s="21" t="n">
        <v>1630884</v>
      </c>
      <c r="S6" s="21" t="n">
        <v>2740912</v>
      </c>
      <c r="T6" s="21" t="n">
        <v>361247</v>
      </c>
      <c r="U6" s="21" t="n">
        <v>405312</v>
      </c>
      <c r="V6" s="21" t="n">
        <v>16428041</v>
      </c>
      <c r="W6" s="21" t="n">
        <v>36069586</v>
      </c>
      <c r="X6" s="71" t="s">
        <v>150</v>
      </c>
      <c r="Y6" s="21" t="n">
        <v>9926844</v>
      </c>
      <c r="Z6" s="21" t="n">
        <v>18674247</v>
      </c>
      <c r="AA6" s="21" t="n">
        <v>5350766</v>
      </c>
      <c r="AB6" s="21" t="n">
        <v>1915919</v>
      </c>
      <c r="AC6" s="21" t="n">
        <v>42216326</v>
      </c>
      <c r="AD6" s="21" t="n">
        <v>9755897</v>
      </c>
      <c r="AE6" s="21" t="n">
        <v>9284059</v>
      </c>
      <c r="AF6" s="21" t="n">
        <f aca="false">SUM(E6:AE6)</f>
        <v>396075848</v>
      </c>
    </row>
    <row r="7" customFormat="false" ht="15" hidden="false" customHeight="false" outlineLevel="0" collapsed="false">
      <c r="A7" s="18" t="s">
        <v>26</v>
      </c>
      <c r="B7" s="54" t="s">
        <v>841</v>
      </c>
      <c r="C7" s="20" t="s">
        <v>21</v>
      </c>
      <c r="D7" s="23"/>
      <c r="E7" s="21" t="n">
        <f aca="false">E6-E10</f>
        <v>51213465</v>
      </c>
      <c r="F7" s="21" t="n">
        <f aca="false">F6-F10</f>
        <v>6831147</v>
      </c>
      <c r="G7" s="21" t="n">
        <f aca="false">G6-G10</f>
        <v>9243106</v>
      </c>
      <c r="H7" s="21" t="n">
        <f aca="false">H6-H10</f>
        <v>6177305</v>
      </c>
      <c r="I7" s="71" t="s">
        <v>150</v>
      </c>
      <c r="J7" s="71" t="s">
        <v>150</v>
      </c>
      <c r="K7" s="21" t="n">
        <f aca="false">K6-K10</f>
        <v>5060116</v>
      </c>
      <c r="L7" s="21" t="n">
        <f aca="false">L6-L10</f>
        <v>1057254</v>
      </c>
      <c r="M7" s="21" t="n">
        <f aca="false">M6-M10</f>
        <v>5028999</v>
      </c>
      <c r="N7" s="71" t="s">
        <v>150</v>
      </c>
      <c r="O7" s="71" t="s">
        <v>150</v>
      </c>
      <c r="P7" s="71" t="s">
        <v>150</v>
      </c>
      <c r="Q7" s="71" t="s">
        <v>150</v>
      </c>
      <c r="R7" s="21" t="n">
        <f aca="false">R6-R10</f>
        <v>1555619</v>
      </c>
      <c r="S7" s="71" t="s">
        <v>150</v>
      </c>
      <c r="T7" s="21" t="n">
        <f aca="false">T6-T10</f>
        <v>291230</v>
      </c>
      <c r="U7" s="71" t="s">
        <v>150</v>
      </c>
      <c r="V7" s="21" t="n">
        <f aca="false">V6-V10</f>
        <v>14904418</v>
      </c>
      <c r="W7" s="71" t="s">
        <v>150</v>
      </c>
      <c r="X7" s="71" t="s">
        <v>150</v>
      </c>
      <c r="Y7" s="71" t="s">
        <v>150</v>
      </c>
      <c r="Z7" s="71" t="s">
        <v>150</v>
      </c>
      <c r="AA7" s="21" t="n">
        <f aca="false">AA6-AA10</f>
        <v>5185351</v>
      </c>
      <c r="AB7" s="21" t="n">
        <f aca="false">AB6-AB10</f>
        <v>1785195</v>
      </c>
      <c r="AC7" s="21" t="n">
        <f aca="false">AC6-AC10</f>
        <v>39164944</v>
      </c>
      <c r="AD7" s="21" t="n">
        <f aca="false">AD6-AD10</f>
        <v>8314731</v>
      </c>
      <c r="AE7" s="21" t="n">
        <f aca="false">AE6-AE10</f>
        <v>8840023</v>
      </c>
      <c r="AF7" s="21" t="n">
        <f aca="false">SUM(E7:AE7)</f>
        <v>164652903</v>
      </c>
    </row>
    <row r="8" customFormat="false" ht="15" hidden="false" customHeight="false" outlineLevel="0" collapsed="false">
      <c r="A8" s="4" t="s">
        <v>29</v>
      </c>
      <c r="B8" s="34" t="s">
        <v>842</v>
      </c>
      <c r="C8" s="35" t="s">
        <v>31</v>
      </c>
      <c r="D8" s="8" t="s">
        <v>10</v>
      </c>
      <c r="E8" s="36" t="n">
        <f aca="false">E7-E9</f>
        <v>50057565</v>
      </c>
      <c r="F8" s="36" t="n">
        <f aca="false">F7-F9</f>
        <v>6189047</v>
      </c>
      <c r="G8" s="36" t="n">
        <f aca="false">G7-G9</f>
        <v>8170506</v>
      </c>
      <c r="H8" s="36" t="n">
        <f aca="false">H7-H9</f>
        <v>6163805</v>
      </c>
      <c r="I8" s="72" t="s">
        <v>150</v>
      </c>
      <c r="J8" s="72" t="s">
        <v>150</v>
      </c>
      <c r="K8" s="72" t="s">
        <v>150</v>
      </c>
      <c r="L8" s="36" t="n">
        <f aca="false">L7-L9</f>
        <v>933054</v>
      </c>
      <c r="M8" s="36" t="n">
        <f aca="false">M7-M9</f>
        <v>4893899</v>
      </c>
      <c r="N8" s="72" t="s">
        <v>150</v>
      </c>
      <c r="O8" s="72" t="s">
        <v>150</v>
      </c>
      <c r="P8" s="72" t="s">
        <v>150</v>
      </c>
      <c r="Q8" s="72" t="s">
        <v>150</v>
      </c>
      <c r="R8" s="36" t="n">
        <f aca="false">R7-R9</f>
        <v>1369119</v>
      </c>
      <c r="S8" s="72" t="s">
        <v>150</v>
      </c>
      <c r="T8" s="36" t="n">
        <f aca="false">T7-T9</f>
        <v>215430</v>
      </c>
      <c r="U8" s="72" t="s">
        <v>150</v>
      </c>
      <c r="V8" s="36" t="n">
        <f aca="false">V7-V9</f>
        <v>13228418</v>
      </c>
      <c r="W8" s="72" t="s">
        <v>150</v>
      </c>
      <c r="X8" s="72" t="s">
        <v>150</v>
      </c>
      <c r="Y8" s="72" t="s">
        <v>150</v>
      </c>
      <c r="Z8" s="72" t="s">
        <v>150</v>
      </c>
      <c r="AA8" s="36" t="n">
        <f aca="false">AA7-AA9</f>
        <v>5132651</v>
      </c>
      <c r="AB8" s="36" t="n">
        <f aca="false">AB7-AB9</f>
        <v>1635495</v>
      </c>
      <c r="AC8" s="36" t="n">
        <f aca="false">AC7-AC9</f>
        <v>37931444</v>
      </c>
      <c r="AD8" s="36" t="n">
        <f aca="false">AD7-AD9</f>
        <v>7482931</v>
      </c>
      <c r="AE8" s="36" t="n">
        <f aca="false">AE7-AE9</f>
        <v>8708423</v>
      </c>
      <c r="AF8" s="73" t="n">
        <f aca="false">SUM(E8:AE8)</f>
        <v>152111787</v>
      </c>
    </row>
    <row r="9" customFormat="false" ht="15" hidden="false" customHeight="false" outlineLevel="0" collapsed="false">
      <c r="A9" s="4" t="s">
        <v>33</v>
      </c>
      <c r="B9" s="34" t="s">
        <v>843</v>
      </c>
      <c r="C9" s="35" t="s">
        <v>31</v>
      </c>
      <c r="D9" s="6" t="s">
        <v>6</v>
      </c>
      <c r="E9" s="36" t="n">
        <v>1155900</v>
      </c>
      <c r="F9" s="36" t="n">
        <v>642100</v>
      </c>
      <c r="G9" s="36" t="n">
        <v>1072600</v>
      </c>
      <c r="H9" s="36" t="n">
        <v>13500</v>
      </c>
      <c r="I9" s="36" t="n">
        <v>30000</v>
      </c>
      <c r="J9" s="36" t="n">
        <v>311700</v>
      </c>
      <c r="K9" s="72" t="s">
        <v>150</v>
      </c>
      <c r="L9" s="36" t="n">
        <v>124200</v>
      </c>
      <c r="M9" s="36" t="n">
        <v>135100</v>
      </c>
      <c r="N9" s="36" t="n">
        <v>6550000</v>
      </c>
      <c r="O9" s="36" t="n">
        <v>8141700</v>
      </c>
      <c r="P9" s="36" t="n">
        <v>219200</v>
      </c>
      <c r="Q9" s="36" t="n">
        <v>293400</v>
      </c>
      <c r="R9" s="36" t="n">
        <v>186500</v>
      </c>
      <c r="S9" s="36" t="n">
        <v>56800</v>
      </c>
      <c r="T9" s="36" t="n">
        <v>75800</v>
      </c>
      <c r="U9" s="72" t="s">
        <v>150</v>
      </c>
      <c r="V9" s="36" t="n">
        <v>1676000</v>
      </c>
      <c r="W9" s="36" t="n">
        <v>339800</v>
      </c>
      <c r="X9" s="36" t="n">
        <v>397600</v>
      </c>
      <c r="Y9" s="36" t="n">
        <v>268700</v>
      </c>
      <c r="Z9" s="36" t="n">
        <v>6700</v>
      </c>
      <c r="AA9" s="36" t="n">
        <v>52700</v>
      </c>
      <c r="AB9" s="36" t="n">
        <v>149700</v>
      </c>
      <c r="AC9" s="36" t="n">
        <v>1233500</v>
      </c>
      <c r="AD9" s="36" t="n">
        <v>831800</v>
      </c>
      <c r="AE9" s="36" t="n">
        <v>131600</v>
      </c>
      <c r="AF9" s="73" t="n">
        <f aca="false">SUM(E9:AE9)</f>
        <v>24096600</v>
      </c>
    </row>
    <row r="10" customFormat="false" ht="15" hidden="false" customHeight="false" outlineLevel="0" collapsed="false">
      <c r="A10" s="18" t="s">
        <v>38</v>
      </c>
      <c r="B10" s="54" t="s">
        <v>844</v>
      </c>
      <c r="C10" s="20" t="s">
        <v>21</v>
      </c>
      <c r="D10" s="23"/>
      <c r="E10" s="21" t="n">
        <v>2358748</v>
      </c>
      <c r="F10" s="21" t="n">
        <v>510647</v>
      </c>
      <c r="G10" s="21" t="n">
        <v>950286</v>
      </c>
      <c r="H10" s="21" t="n">
        <v>107117</v>
      </c>
      <c r="I10" s="71" t="s">
        <v>150</v>
      </c>
      <c r="J10" s="71" t="s">
        <v>150</v>
      </c>
      <c r="K10" s="21" t="n">
        <v>255071</v>
      </c>
      <c r="L10" s="21" t="n">
        <v>66131</v>
      </c>
      <c r="M10" s="21" t="n">
        <v>195871</v>
      </c>
      <c r="N10" s="71" t="s">
        <v>150</v>
      </c>
      <c r="O10" s="71" t="s">
        <v>150</v>
      </c>
      <c r="P10" s="71" t="s">
        <v>150</v>
      </c>
      <c r="Q10" s="71" t="s">
        <v>150</v>
      </c>
      <c r="R10" s="21" t="n">
        <v>75265</v>
      </c>
      <c r="S10" s="71" t="s">
        <v>150</v>
      </c>
      <c r="T10" s="21" t="n">
        <v>70017</v>
      </c>
      <c r="U10" s="71" t="s">
        <v>150</v>
      </c>
      <c r="V10" s="21" t="n">
        <v>1523623</v>
      </c>
      <c r="W10" s="71" t="s">
        <v>150</v>
      </c>
      <c r="X10" s="71" t="s">
        <v>150</v>
      </c>
      <c r="Y10" s="71" t="s">
        <v>150</v>
      </c>
      <c r="Z10" s="71" t="s">
        <v>150</v>
      </c>
      <c r="AA10" s="21" t="n">
        <v>165415</v>
      </c>
      <c r="AB10" s="21" t="n">
        <v>130724</v>
      </c>
      <c r="AC10" s="21" t="n">
        <v>3051382</v>
      </c>
      <c r="AD10" s="21" t="n">
        <v>1441166</v>
      </c>
      <c r="AE10" s="21" t="n">
        <v>444036</v>
      </c>
      <c r="AF10" s="21" t="n">
        <f aca="false">SUM(E10:AE10)</f>
        <v>11345499</v>
      </c>
    </row>
    <row r="11" customFormat="false" ht="23.85" hidden="false" customHeight="false" outlineLevel="0" collapsed="false">
      <c r="A11" s="4" t="s">
        <v>42</v>
      </c>
      <c r="B11" s="34" t="s">
        <v>845</v>
      </c>
      <c r="C11" s="35" t="s">
        <v>31</v>
      </c>
      <c r="D11" s="6" t="s">
        <v>6</v>
      </c>
      <c r="E11" s="36" t="n">
        <v>1663746</v>
      </c>
      <c r="F11" s="36" t="n">
        <v>100006</v>
      </c>
      <c r="G11" s="36" t="n">
        <v>410150</v>
      </c>
      <c r="H11" s="36" t="n">
        <v>10224</v>
      </c>
      <c r="I11" s="36" t="n">
        <v>28915</v>
      </c>
      <c r="J11" s="36" t="n">
        <v>11882</v>
      </c>
      <c r="K11" s="36" t="n">
        <v>66980</v>
      </c>
      <c r="L11" s="36" t="n">
        <v>9554</v>
      </c>
      <c r="M11" s="36" t="n">
        <v>96768</v>
      </c>
      <c r="N11" s="36" t="n">
        <v>1099169</v>
      </c>
      <c r="O11" s="36" t="n">
        <v>1483382</v>
      </c>
      <c r="P11" s="36" t="n">
        <v>189352</v>
      </c>
      <c r="Q11" s="36" t="n">
        <v>116986</v>
      </c>
      <c r="R11" s="36" t="n">
        <v>14003</v>
      </c>
      <c r="S11" s="36" t="n">
        <v>1810</v>
      </c>
      <c r="T11" s="36" t="n">
        <v>50743</v>
      </c>
      <c r="U11" s="36" t="n">
        <v>11077</v>
      </c>
      <c r="V11" s="36" t="n">
        <v>434596</v>
      </c>
      <c r="W11" s="36" t="n">
        <v>75238</v>
      </c>
      <c r="X11" s="36" t="n">
        <v>221070</v>
      </c>
      <c r="Y11" s="36" t="n">
        <v>40468</v>
      </c>
      <c r="Z11" s="36" t="n">
        <v>85080</v>
      </c>
      <c r="AA11" s="36" t="n">
        <v>5993</v>
      </c>
      <c r="AB11" s="36" t="n">
        <v>16378</v>
      </c>
      <c r="AC11" s="36" t="n">
        <v>1466064</v>
      </c>
      <c r="AD11" s="36" t="n">
        <v>699792</v>
      </c>
      <c r="AE11" s="36" t="n">
        <v>29707</v>
      </c>
      <c r="AF11" s="73" t="n">
        <f aca="false">SUM(E11:AE11)</f>
        <v>8439133</v>
      </c>
    </row>
    <row r="12" customFormat="false" ht="15" hidden="false" customHeight="false" outlineLevel="0" collapsed="false">
      <c r="A12" s="4" t="s">
        <v>46</v>
      </c>
      <c r="B12" s="34" t="s">
        <v>846</v>
      </c>
      <c r="C12" s="35" t="s">
        <v>31</v>
      </c>
      <c r="D12" s="8" t="s">
        <v>10</v>
      </c>
      <c r="E12" s="36" t="n">
        <f aca="false">E10-E11</f>
        <v>695002</v>
      </c>
      <c r="F12" s="36" t="n">
        <f aca="false">F10-F11</f>
        <v>410641</v>
      </c>
      <c r="G12" s="36" t="n">
        <f aca="false">G10-G11</f>
        <v>540136</v>
      </c>
      <c r="H12" s="36" t="n">
        <f aca="false">H10-H11</f>
        <v>96893</v>
      </c>
      <c r="I12" s="72" t="s">
        <v>150</v>
      </c>
      <c r="J12" s="72" t="s">
        <v>150</v>
      </c>
      <c r="K12" s="36" t="n">
        <f aca="false">K10-K11</f>
        <v>188091</v>
      </c>
      <c r="L12" s="36" t="n">
        <f aca="false">L10-L11</f>
        <v>56577</v>
      </c>
      <c r="M12" s="36" t="n">
        <f aca="false">M10-M11</f>
        <v>99103</v>
      </c>
      <c r="N12" s="72" t="s">
        <v>150</v>
      </c>
      <c r="O12" s="72" t="s">
        <v>150</v>
      </c>
      <c r="P12" s="72" t="s">
        <v>150</v>
      </c>
      <c r="Q12" s="72" t="s">
        <v>150</v>
      </c>
      <c r="R12" s="36" t="n">
        <f aca="false">R10-R11</f>
        <v>61262</v>
      </c>
      <c r="S12" s="72" t="s">
        <v>150</v>
      </c>
      <c r="T12" s="36" t="n">
        <f aca="false">T10-T11</f>
        <v>19274</v>
      </c>
      <c r="U12" s="72" t="s">
        <v>150</v>
      </c>
      <c r="V12" s="36" t="n">
        <f aca="false">V10-V11</f>
        <v>1089027</v>
      </c>
      <c r="W12" s="72" t="s">
        <v>150</v>
      </c>
      <c r="X12" s="72" t="s">
        <v>150</v>
      </c>
      <c r="Y12" s="72" t="s">
        <v>150</v>
      </c>
      <c r="Z12" s="72" t="s">
        <v>150</v>
      </c>
      <c r="AA12" s="36" t="n">
        <f aca="false">AA10-AA11</f>
        <v>159422</v>
      </c>
      <c r="AB12" s="36" t="n">
        <f aca="false">AB10-AB11</f>
        <v>114346</v>
      </c>
      <c r="AC12" s="36" t="n">
        <f aca="false">AC10-AC11</f>
        <v>1585318</v>
      </c>
      <c r="AD12" s="36" t="n">
        <f aca="false">AD10-AD11</f>
        <v>741374</v>
      </c>
      <c r="AE12" s="36" t="n">
        <f aca="false">AE10-AE11</f>
        <v>414329</v>
      </c>
      <c r="AF12" s="73" t="n">
        <f aca="false">SUM(E12:AE12)</f>
        <v>6270795</v>
      </c>
    </row>
    <row r="13" customFormat="false" ht="15" hidden="false" customHeight="false" outlineLevel="0" collapsed="false">
      <c r="A13" s="18" t="s">
        <v>50</v>
      </c>
      <c r="B13" s="19" t="s">
        <v>51</v>
      </c>
      <c r="C13" s="20" t="s">
        <v>31</v>
      </c>
      <c r="D13" s="60" t="s">
        <v>10</v>
      </c>
      <c r="E13" s="21" t="n">
        <v>1373870</v>
      </c>
      <c r="F13" s="21" t="n">
        <v>923854</v>
      </c>
      <c r="G13" s="21" t="n">
        <v>1006037</v>
      </c>
      <c r="H13" s="21" t="n">
        <v>31035</v>
      </c>
      <c r="I13" s="21" t="n">
        <v>99030</v>
      </c>
      <c r="J13" s="21" t="n">
        <v>23448</v>
      </c>
      <c r="K13" s="21" t="n">
        <v>276115</v>
      </c>
      <c r="L13" s="21" t="n">
        <v>22690</v>
      </c>
      <c r="M13" s="21" t="n">
        <v>107956</v>
      </c>
      <c r="N13" s="21" t="n">
        <v>1621028</v>
      </c>
      <c r="O13" s="21" t="n">
        <v>4350923</v>
      </c>
      <c r="P13" s="21" t="n">
        <v>114128</v>
      </c>
      <c r="Q13" s="21" t="n">
        <v>366693</v>
      </c>
      <c r="R13" s="21" t="n">
        <v>3937</v>
      </c>
      <c r="S13" s="21" t="n">
        <v>3662</v>
      </c>
      <c r="T13" s="21" t="n">
        <v>244291</v>
      </c>
      <c r="U13" s="21" t="n">
        <v>45771</v>
      </c>
      <c r="V13" s="21" t="n">
        <v>770888</v>
      </c>
      <c r="W13" s="21" t="n">
        <v>32317</v>
      </c>
      <c r="X13" s="71" t="s">
        <v>150</v>
      </c>
      <c r="Y13" s="21" t="n">
        <v>197668</v>
      </c>
      <c r="Z13" s="21" t="n">
        <v>68774</v>
      </c>
      <c r="AA13" s="21" t="n">
        <v>39933</v>
      </c>
      <c r="AB13" s="21" t="n">
        <v>21433</v>
      </c>
      <c r="AC13" s="21" t="n">
        <v>1757955</v>
      </c>
      <c r="AD13" s="21" t="n">
        <v>306724</v>
      </c>
      <c r="AE13" s="21" t="n">
        <v>87962</v>
      </c>
      <c r="AF13" s="21" t="n">
        <f aca="false">SUM(E13:AE13)</f>
        <v>13898122</v>
      </c>
    </row>
    <row r="14" customFormat="false" ht="15" hidden="false" customHeight="false" outlineLevel="0" collapsed="false">
      <c r="A14" s="18" t="s">
        <v>60</v>
      </c>
      <c r="B14" s="19" t="s">
        <v>61</v>
      </c>
      <c r="C14" s="20" t="s">
        <v>21</v>
      </c>
      <c r="D14" s="23"/>
      <c r="E14" s="21" t="n">
        <v>3996856</v>
      </c>
      <c r="F14" s="21" t="n">
        <v>909689</v>
      </c>
      <c r="G14" s="21" t="n">
        <v>662127</v>
      </c>
      <c r="H14" s="21" t="n">
        <v>115754</v>
      </c>
      <c r="I14" s="21" t="n">
        <v>144259</v>
      </c>
      <c r="J14" s="21" t="n">
        <v>129750</v>
      </c>
      <c r="K14" s="21" t="n">
        <v>392951</v>
      </c>
      <c r="L14" s="21" t="n">
        <v>223135</v>
      </c>
      <c r="M14" s="21" t="n">
        <v>300096</v>
      </c>
      <c r="N14" s="21" t="n">
        <v>4847178</v>
      </c>
      <c r="O14" s="21" t="n">
        <v>8024309</v>
      </c>
      <c r="P14" s="21" t="n">
        <v>622933</v>
      </c>
      <c r="Q14" s="21" t="n">
        <v>506707</v>
      </c>
      <c r="R14" s="21" t="n">
        <v>225629</v>
      </c>
      <c r="S14" s="21" t="n">
        <v>144294</v>
      </c>
      <c r="T14" s="21" t="n">
        <v>76142</v>
      </c>
      <c r="U14" s="21" t="n">
        <v>123167</v>
      </c>
      <c r="V14" s="21" t="n">
        <v>821732</v>
      </c>
      <c r="W14" s="21" t="n">
        <v>392169</v>
      </c>
      <c r="X14" s="71" t="s">
        <v>150</v>
      </c>
      <c r="Y14" s="21" t="n">
        <v>784772</v>
      </c>
      <c r="Z14" s="21" t="n">
        <v>299603</v>
      </c>
      <c r="AA14" s="21" t="n">
        <v>25736</v>
      </c>
      <c r="AB14" s="21" t="n">
        <v>193498</v>
      </c>
      <c r="AC14" s="21" t="n">
        <v>5149235</v>
      </c>
      <c r="AD14" s="21" t="n">
        <v>508931</v>
      </c>
      <c r="AE14" s="21" t="n">
        <v>167205</v>
      </c>
      <c r="AF14" s="21" t="n">
        <f aca="false">SUM(E14:AE14)</f>
        <v>29787857</v>
      </c>
    </row>
    <row r="15" customFormat="false" ht="15" hidden="false" customHeight="false" outlineLevel="0" collapsed="false">
      <c r="A15" s="4" t="s">
        <v>63</v>
      </c>
      <c r="B15" s="39" t="s">
        <v>847</v>
      </c>
      <c r="C15" s="35" t="s">
        <v>31</v>
      </c>
      <c r="D15" s="7" t="s">
        <v>8</v>
      </c>
      <c r="E15" s="36" t="n">
        <v>60485</v>
      </c>
      <c r="F15" s="36" t="n">
        <v>92455</v>
      </c>
      <c r="G15" s="36" t="n">
        <v>93425</v>
      </c>
      <c r="H15" s="36" t="n">
        <v>78105</v>
      </c>
      <c r="I15" s="36" t="n">
        <v>25465</v>
      </c>
      <c r="J15" s="36" t="n">
        <v>28540</v>
      </c>
      <c r="K15" s="36" t="n">
        <v>48685</v>
      </c>
      <c r="L15" s="36" t="n">
        <v>34395</v>
      </c>
      <c r="M15" s="36" t="n">
        <v>78225</v>
      </c>
      <c r="N15" s="36" t="n">
        <v>51885</v>
      </c>
      <c r="O15" s="36" t="n">
        <v>1251105</v>
      </c>
      <c r="P15" s="36" t="n">
        <v>38140</v>
      </c>
      <c r="Q15" s="36" t="n">
        <v>119375</v>
      </c>
      <c r="R15" s="36" t="n">
        <v>31250</v>
      </c>
      <c r="S15" s="36" t="n">
        <v>51540</v>
      </c>
      <c r="T15" s="36" t="n">
        <v>4060</v>
      </c>
      <c r="U15" s="36" t="n">
        <v>2495</v>
      </c>
      <c r="V15" s="36" t="n">
        <v>134090</v>
      </c>
      <c r="W15" s="36" t="n">
        <v>969250</v>
      </c>
      <c r="X15" s="36" t="n">
        <v>66740</v>
      </c>
      <c r="Y15" s="36" t="n">
        <v>393055</v>
      </c>
      <c r="Z15" s="36" t="n">
        <v>201890</v>
      </c>
      <c r="AA15" s="36" t="n">
        <v>139580</v>
      </c>
      <c r="AB15" s="36" t="n">
        <v>11280</v>
      </c>
      <c r="AC15" s="36" t="n">
        <v>255245</v>
      </c>
      <c r="AD15" s="36" t="n">
        <v>49615</v>
      </c>
      <c r="AE15" s="36" t="n">
        <v>43300</v>
      </c>
      <c r="AF15" s="73" t="n">
        <f aca="false">SUM(E15:AE15)</f>
        <v>4353675</v>
      </c>
    </row>
    <row r="16" customFormat="false" ht="15" hidden="false" customHeight="false" outlineLevel="0" collapsed="false">
      <c r="A16" s="4" t="s">
        <v>95</v>
      </c>
      <c r="B16" s="39" t="s">
        <v>848</v>
      </c>
      <c r="C16" s="35" t="s">
        <v>31</v>
      </c>
      <c r="D16" s="5" t="s">
        <v>4</v>
      </c>
      <c r="E16" s="36" t="n">
        <v>234165</v>
      </c>
      <c r="F16" s="36" t="n">
        <v>22555</v>
      </c>
      <c r="G16" s="36" t="n">
        <v>58720</v>
      </c>
      <c r="H16" s="36" t="n">
        <v>1630</v>
      </c>
      <c r="I16" s="36" t="n">
        <v>23225</v>
      </c>
      <c r="J16" s="36" t="n">
        <v>505</v>
      </c>
      <c r="K16" s="36" t="n">
        <v>2475</v>
      </c>
      <c r="L16" s="36" t="n">
        <v>325</v>
      </c>
      <c r="M16" s="36" t="n">
        <v>4220</v>
      </c>
      <c r="N16" s="36" t="n">
        <v>153200</v>
      </c>
      <c r="O16" s="36" t="n">
        <v>306650</v>
      </c>
      <c r="P16" s="36" t="n">
        <v>31945</v>
      </c>
      <c r="Q16" s="36" t="n">
        <v>32620</v>
      </c>
      <c r="R16" s="36" t="n">
        <v>725</v>
      </c>
      <c r="S16" s="36" t="n">
        <v>160</v>
      </c>
      <c r="T16" s="36" t="n">
        <v>4195</v>
      </c>
      <c r="U16" s="36" t="n">
        <v>1415</v>
      </c>
      <c r="V16" s="36" t="n">
        <v>63295</v>
      </c>
      <c r="W16" s="36" t="n">
        <v>12780</v>
      </c>
      <c r="X16" s="36" t="n">
        <v>8595</v>
      </c>
      <c r="Y16" s="36" t="n">
        <v>625</v>
      </c>
      <c r="Z16" s="36" t="n">
        <v>295</v>
      </c>
      <c r="AA16" s="36" t="n">
        <v>90</v>
      </c>
      <c r="AB16" s="36" t="n">
        <v>1480</v>
      </c>
      <c r="AC16" s="36" t="n">
        <v>248760</v>
      </c>
      <c r="AD16" s="36" t="n">
        <v>6205</v>
      </c>
      <c r="AE16" s="36" t="n">
        <v>50</v>
      </c>
      <c r="AF16" s="73" t="n">
        <f aca="false">SUM(E16:AE16)</f>
        <v>1220905</v>
      </c>
    </row>
    <row r="17" customFormat="false" ht="23.85" hidden="false" customHeight="false" outlineLevel="0" collapsed="false">
      <c r="A17" s="4" t="s">
        <v>238</v>
      </c>
      <c r="B17" s="39" t="s">
        <v>849</v>
      </c>
      <c r="C17" s="35" t="s">
        <v>31</v>
      </c>
      <c r="D17" s="5" t="s">
        <v>4</v>
      </c>
      <c r="E17" s="36" t="n">
        <f aca="false">E14-E15-E16</f>
        <v>3702206</v>
      </c>
      <c r="F17" s="36" t="n">
        <f aca="false">F14-F15-F16</f>
        <v>794679</v>
      </c>
      <c r="G17" s="36" t="n">
        <f aca="false">G14-G15-G16</f>
        <v>509982</v>
      </c>
      <c r="H17" s="36" t="n">
        <f aca="false">H14-H15-H16</f>
        <v>36019</v>
      </c>
      <c r="I17" s="36" t="n">
        <f aca="false">I14-I15-I16</f>
        <v>95569</v>
      </c>
      <c r="J17" s="36" t="n">
        <f aca="false">J14-J15-J16</f>
        <v>100705</v>
      </c>
      <c r="K17" s="36" t="n">
        <f aca="false">K14-K15-K16</f>
        <v>341791</v>
      </c>
      <c r="L17" s="36" t="n">
        <f aca="false">L14-L15-L16</f>
        <v>188415</v>
      </c>
      <c r="M17" s="36" t="n">
        <f aca="false">M14-M15-M16</f>
        <v>217651</v>
      </c>
      <c r="N17" s="36" t="n">
        <f aca="false">N14-N15-N16</f>
        <v>4642093</v>
      </c>
      <c r="O17" s="36" t="n">
        <f aca="false">O14-O15-O16</f>
        <v>6466554</v>
      </c>
      <c r="P17" s="36" t="n">
        <f aca="false">P14-P15-P16</f>
        <v>552848</v>
      </c>
      <c r="Q17" s="36" t="n">
        <f aca="false">Q14-Q15-Q16</f>
        <v>354712</v>
      </c>
      <c r="R17" s="36" t="n">
        <f aca="false">R14-R15-R16</f>
        <v>193654</v>
      </c>
      <c r="S17" s="36" t="n">
        <f aca="false">S14-S15-S16</f>
        <v>92594</v>
      </c>
      <c r="T17" s="36" t="n">
        <f aca="false">T14-T15-T16</f>
        <v>67887</v>
      </c>
      <c r="U17" s="36" t="n">
        <f aca="false">U14-U15-U16</f>
        <v>119257</v>
      </c>
      <c r="V17" s="36" t="n">
        <f aca="false">V14-V15-V16</f>
        <v>624347</v>
      </c>
      <c r="W17" s="36" t="n">
        <f aca="false">W14-W15-W16</f>
        <v>-589861</v>
      </c>
      <c r="X17" s="72" t="s">
        <v>150</v>
      </c>
      <c r="Y17" s="36" t="n">
        <f aca="false">Y14-Y15-Y16</f>
        <v>391092</v>
      </c>
      <c r="Z17" s="36" t="n">
        <f aca="false">Z14-Z15-Z16</f>
        <v>97418</v>
      </c>
      <c r="AA17" s="36" t="n">
        <f aca="false">AA14-AA15-AA16</f>
        <v>-113934</v>
      </c>
      <c r="AB17" s="36" t="n">
        <f aca="false">AB14-AB15-AB16</f>
        <v>180738</v>
      </c>
      <c r="AC17" s="36" t="n">
        <f aca="false">AC14-AC15-AC16</f>
        <v>4645230</v>
      </c>
      <c r="AD17" s="36" t="n">
        <f aca="false">AD14-AD15-AD16</f>
        <v>453111</v>
      </c>
      <c r="AE17" s="36" t="n">
        <f aca="false">AE14-AE15-AE16</f>
        <v>123855</v>
      </c>
      <c r="AF17" s="73" t="n">
        <f aca="false">SUM(E17:AE17)</f>
        <v>24288612</v>
      </c>
    </row>
    <row r="18" customFormat="false" ht="15" hidden="false" customHeight="false" outlineLevel="0" collapsed="false">
      <c r="A18" s="18" t="s">
        <v>99</v>
      </c>
      <c r="B18" s="19" t="s">
        <v>850</v>
      </c>
      <c r="C18" s="20" t="s">
        <v>31</v>
      </c>
      <c r="D18" s="45" t="s">
        <v>2</v>
      </c>
      <c r="E18" s="74" t="n">
        <v>339000</v>
      </c>
      <c r="F18" s="71" t="s">
        <v>150</v>
      </c>
      <c r="G18" s="71" t="s">
        <v>150</v>
      </c>
      <c r="H18" s="71" t="s">
        <v>150</v>
      </c>
      <c r="I18" s="71" t="s">
        <v>150</v>
      </c>
      <c r="J18" s="71" t="s">
        <v>150</v>
      </c>
      <c r="K18" s="71" t="s">
        <v>150</v>
      </c>
      <c r="L18" s="71" t="s">
        <v>150</v>
      </c>
      <c r="M18" s="71" t="s">
        <v>150</v>
      </c>
      <c r="N18" s="71" t="s">
        <v>150</v>
      </c>
      <c r="O18" s="71" t="s">
        <v>150</v>
      </c>
      <c r="P18" s="71" t="s">
        <v>150</v>
      </c>
      <c r="Q18" s="71" t="s">
        <v>150</v>
      </c>
      <c r="R18" s="71" t="s">
        <v>150</v>
      </c>
      <c r="S18" s="71" t="s">
        <v>150</v>
      </c>
      <c r="T18" s="71" t="s">
        <v>150</v>
      </c>
      <c r="U18" s="71" t="s">
        <v>150</v>
      </c>
      <c r="V18" s="71" t="s">
        <v>150</v>
      </c>
      <c r="W18" s="71" t="s">
        <v>150</v>
      </c>
      <c r="X18" s="71" t="s">
        <v>150</v>
      </c>
      <c r="Y18" s="71" t="s">
        <v>150</v>
      </c>
      <c r="Z18" s="71" t="s">
        <v>150</v>
      </c>
      <c r="AA18" s="71" t="s">
        <v>150</v>
      </c>
      <c r="AB18" s="71" t="s">
        <v>150</v>
      </c>
      <c r="AC18" s="71" t="s">
        <v>150</v>
      </c>
      <c r="AD18" s="71" t="s">
        <v>150</v>
      </c>
      <c r="AE18" s="71" t="s">
        <v>150</v>
      </c>
      <c r="AF18" s="21" t="n">
        <f aca="false">SUM(E18:AE18)</f>
        <v>339000</v>
      </c>
    </row>
    <row r="20" customFormat="false" ht="21.75" hidden="false" customHeight="true" outlineLevel="0" collapsed="false">
      <c r="A20" s="46" t="s">
        <v>851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</row>
    <row r="21" customFormat="false" ht="42" hidden="false" customHeight="true" outlineLevel="0" collapsed="false">
      <c r="A21" s="9" t="s">
        <v>12</v>
      </c>
      <c r="B21" s="9" t="s">
        <v>104</v>
      </c>
      <c r="C21" s="9"/>
      <c r="D21" s="9" t="s">
        <v>16</v>
      </c>
      <c r="E21" s="70" t="s">
        <v>813</v>
      </c>
      <c r="F21" s="70" t="s">
        <v>814</v>
      </c>
      <c r="G21" s="70" t="s">
        <v>815</v>
      </c>
      <c r="H21" s="70" t="s">
        <v>816</v>
      </c>
      <c r="I21" s="70" t="s">
        <v>817</v>
      </c>
      <c r="J21" s="70" t="s">
        <v>818</v>
      </c>
      <c r="K21" s="70" t="s">
        <v>819</v>
      </c>
      <c r="L21" s="70" t="s">
        <v>820</v>
      </c>
      <c r="M21" s="70" t="s">
        <v>821</v>
      </c>
      <c r="N21" s="70" t="s">
        <v>822</v>
      </c>
      <c r="O21" s="70" t="s">
        <v>823</v>
      </c>
      <c r="P21" s="70" t="s">
        <v>824</v>
      </c>
      <c r="Q21" s="70" t="s">
        <v>825</v>
      </c>
      <c r="R21" s="70" t="s">
        <v>826</v>
      </c>
      <c r="S21" s="70" t="s">
        <v>827</v>
      </c>
      <c r="T21" s="70" t="s">
        <v>828</v>
      </c>
      <c r="U21" s="70" t="s">
        <v>829</v>
      </c>
      <c r="V21" s="70" t="s">
        <v>830</v>
      </c>
      <c r="W21" s="70" t="s">
        <v>831</v>
      </c>
      <c r="X21" s="70" t="s">
        <v>832</v>
      </c>
      <c r="Y21" s="70" t="s">
        <v>833</v>
      </c>
      <c r="Z21" s="70" t="s">
        <v>55</v>
      </c>
      <c r="AA21" s="70" t="s">
        <v>834</v>
      </c>
      <c r="AB21" s="70" t="s">
        <v>835</v>
      </c>
      <c r="AC21" s="70" t="s">
        <v>836</v>
      </c>
      <c r="AD21" s="70" t="s">
        <v>837</v>
      </c>
      <c r="AE21" s="70" t="s">
        <v>838</v>
      </c>
      <c r="AF21" s="70" t="s">
        <v>852</v>
      </c>
    </row>
    <row r="22" customFormat="false" ht="15" hidden="false" customHeight="false" outlineLevel="0" collapsed="false">
      <c r="A22" s="4" t="s">
        <v>106</v>
      </c>
      <c r="B22" s="38" t="s">
        <v>107</v>
      </c>
      <c r="C22" s="38"/>
      <c r="D22" s="3" t="s">
        <v>2</v>
      </c>
      <c r="E22" s="36" t="n">
        <v>82505</v>
      </c>
      <c r="F22" s="36" t="n">
        <v>16550</v>
      </c>
      <c r="G22" s="36" t="n">
        <v>9420</v>
      </c>
      <c r="H22" s="36" t="n">
        <v>7745</v>
      </c>
      <c r="I22" s="36" t="n">
        <v>5335</v>
      </c>
      <c r="J22" s="36" t="n">
        <v>20300</v>
      </c>
      <c r="K22" s="36" t="n">
        <v>1375</v>
      </c>
      <c r="L22" s="36" t="n">
        <v>585</v>
      </c>
      <c r="M22" s="36" t="n">
        <v>660</v>
      </c>
      <c r="N22" s="36" t="n">
        <v>159460</v>
      </c>
      <c r="O22" s="36" t="n">
        <v>168360</v>
      </c>
      <c r="P22" s="36" t="n">
        <v>60800</v>
      </c>
      <c r="Q22" s="36" t="n">
        <v>5460</v>
      </c>
      <c r="R22" s="36" t="n">
        <v>2410</v>
      </c>
      <c r="S22" s="36" t="n">
        <v>5035</v>
      </c>
      <c r="T22" s="36" t="n">
        <v>2150</v>
      </c>
      <c r="U22" s="36" t="n">
        <v>2150</v>
      </c>
      <c r="V22" s="36" t="n">
        <v>3955</v>
      </c>
      <c r="W22" s="36" t="n">
        <v>17650</v>
      </c>
      <c r="X22" s="36" t="n">
        <v>735</v>
      </c>
      <c r="Y22" s="36" t="n">
        <v>10370</v>
      </c>
      <c r="Z22" s="36" t="n">
        <v>24350</v>
      </c>
      <c r="AA22" s="36" t="n">
        <v>1535</v>
      </c>
      <c r="AB22" s="36" t="n">
        <v>28575</v>
      </c>
      <c r="AC22" s="36" t="n">
        <v>58910</v>
      </c>
      <c r="AD22" s="36" t="n">
        <v>2495</v>
      </c>
      <c r="AE22" s="36" t="n">
        <v>20515</v>
      </c>
      <c r="AF22" s="73" t="n">
        <f aca="false">SUM(E22:AE22)</f>
        <v>719390</v>
      </c>
    </row>
    <row r="23" customFormat="false" ht="15" hidden="false" customHeight="false" outlineLevel="0" collapsed="false">
      <c r="A23" s="4" t="s">
        <v>109</v>
      </c>
      <c r="B23" s="64" t="s">
        <v>110</v>
      </c>
      <c r="C23" s="38"/>
      <c r="D23" s="3" t="s">
        <v>2</v>
      </c>
      <c r="E23" s="65" t="n">
        <v>21295</v>
      </c>
      <c r="F23" s="65" t="n">
        <v>11165</v>
      </c>
      <c r="G23" s="65" t="n">
        <v>25340</v>
      </c>
      <c r="H23" s="65" t="n">
        <v>3880</v>
      </c>
      <c r="I23" s="65" t="n">
        <v>15185</v>
      </c>
      <c r="J23" s="65" t="n">
        <v>11330</v>
      </c>
      <c r="K23" s="65" t="n">
        <v>2280</v>
      </c>
      <c r="L23" s="65" t="n">
        <v>660</v>
      </c>
      <c r="M23" s="65" t="n">
        <v>5070</v>
      </c>
      <c r="N23" s="65" t="n">
        <v>137550</v>
      </c>
      <c r="O23" s="65" t="n">
        <v>55240</v>
      </c>
      <c r="P23" s="65" t="n">
        <v>26635</v>
      </c>
      <c r="Q23" s="65" t="n">
        <v>6260</v>
      </c>
      <c r="R23" s="65" t="n">
        <v>2640</v>
      </c>
      <c r="S23" s="65" t="n">
        <v>4900</v>
      </c>
      <c r="T23" s="65" t="n">
        <v>1340</v>
      </c>
      <c r="U23" s="65" t="n">
        <v>1090</v>
      </c>
      <c r="V23" s="65" t="n">
        <v>31230</v>
      </c>
      <c r="W23" s="65" t="n">
        <v>14760</v>
      </c>
      <c r="X23" s="65" t="n">
        <v>18245</v>
      </c>
      <c r="Y23" s="65" t="n">
        <v>5250</v>
      </c>
      <c r="Z23" s="65" t="n">
        <v>2860</v>
      </c>
      <c r="AA23" s="65" t="n">
        <v>500</v>
      </c>
      <c r="AB23" s="65" t="n">
        <v>880</v>
      </c>
      <c r="AC23" s="65" t="n">
        <v>53700</v>
      </c>
      <c r="AD23" s="65" t="n">
        <v>18340</v>
      </c>
      <c r="AE23" s="65" t="n">
        <v>9080</v>
      </c>
      <c r="AF23" s="73" t="n">
        <f aca="false">SUM(E23:AE23)</f>
        <v>486705</v>
      </c>
    </row>
    <row r="24" customFormat="false" ht="15" hidden="false" customHeight="false" outlineLevel="0" collapsed="false">
      <c r="A24" s="4" t="s">
        <v>112</v>
      </c>
      <c r="B24" s="64" t="s">
        <v>853</v>
      </c>
      <c r="C24" s="38"/>
      <c r="D24" s="3" t="s">
        <v>2</v>
      </c>
      <c r="E24" s="65" t="n">
        <v>4780</v>
      </c>
      <c r="F24" s="65" t="n">
        <v>7305</v>
      </c>
      <c r="G24" s="65" t="n">
        <v>4955</v>
      </c>
      <c r="H24" s="65" t="n">
        <v>1150</v>
      </c>
      <c r="I24" s="65" t="n">
        <v>10630</v>
      </c>
      <c r="J24" s="65" t="n">
        <v>6560</v>
      </c>
      <c r="K24" s="65" t="n">
        <v>975</v>
      </c>
      <c r="L24" s="65" t="n">
        <v>565</v>
      </c>
      <c r="M24" s="65" t="n">
        <v>1820</v>
      </c>
      <c r="N24" s="65" t="n">
        <v>14940</v>
      </c>
      <c r="O24" s="65" t="n">
        <v>29295</v>
      </c>
      <c r="P24" s="65" t="n">
        <v>5050</v>
      </c>
      <c r="Q24" s="65" t="n">
        <v>2030</v>
      </c>
      <c r="R24" s="65" t="n">
        <v>2280</v>
      </c>
      <c r="S24" s="65" t="n">
        <v>4545</v>
      </c>
      <c r="T24" s="65" t="n">
        <v>370</v>
      </c>
      <c r="U24" s="65" t="n">
        <v>1065</v>
      </c>
      <c r="V24" s="65" t="n">
        <v>4825</v>
      </c>
      <c r="W24" s="65" t="n">
        <v>9690</v>
      </c>
      <c r="X24" s="65" t="n">
        <v>825</v>
      </c>
      <c r="Y24" s="65" t="n">
        <v>3180</v>
      </c>
      <c r="Z24" s="65" t="n">
        <v>775</v>
      </c>
      <c r="AA24" s="65" t="n">
        <v>395</v>
      </c>
      <c r="AB24" s="65" t="n">
        <v>175</v>
      </c>
      <c r="AC24" s="65" t="n">
        <v>5705</v>
      </c>
      <c r="AD24" s="65" t="n">
        <v>11250</v>
      </c>
      <c r="AE24" s="65" t="n">
        <v>4135</v>
      </c>
      <c r="AF24" s="73" t="n">
        <f aca="false">SUM(E24:AE24)</f>
        <v>139270</v>
      </c>
    </row>
    <row r="25" customFormat="false" ht="15" hidden="false" customHeight="false" outlineLevel="0" collapsed="false">
      <c r="A25" s="4" t="s">
        <v>854</v>
      </c>
      <c r="B25" s="64" t="s">
        <v>855</v>
      </c>
      <c r="C25" s="38"/>
      <c r="D25" s="3" t="s">
        <v>2</v>
      </c>
      <c r="E25" s="75" t="n">
        <f aca="false">IF(ISNUMBER(E23),E24/E23,"n.d.")</f>
        <v>0.224465837050951</v>
      </c>
      <c r="F25" s="75" t="n">
        <f aca="false">IF(ISNUMBER(F23),F24/F23,"n.d.")</f>
        <v>0.654276757725034</v>
      </c>
      <c r="G25" s="75" t="n">
        <f aca="false">IF(ISNUMBER(G23),G24/G23,"n.d.")</f>
        <v>0.195540647198106</v>
      </c>
      <c r="H25" s="75" t="n">
        <f aca="false">IF(ISNUMBER(H23),H24/H23,"n.d.")</f>
        <v>0.29639175257732</v>
      </c>
      <c r="I25" s="75" t="n">
        <f aca="false">IF(ISNUMBER(I23),I24/I23,"n.d.")</f>
        <v>0.70003292723082</v>
      </c>
      <c r="J25" s="75" t="n">
        <f aca="false">IF(ISNUMBER(J23),J24/J23,"n.d.")</f>
        <v>0.578993821712268</v>
      </c>
      <c r="K25" s="75" t="n">
        <f aca="false">IF(ISNUMBER(K23),K24/K23,"n.d.")</f>
        <v>0.427631578947368</v>
      </c>
      <c r="L25" s="75" t="n">
        <f aca="false">IF(ISNUMBER(L23),L24/L23,"n.d.")</f>
        <v>0.856060606060606</v>
      </c>
      <c r="M25" s="75" t="n">
        <f aca="false">IF(ISNUMBER(M23),M24/M23,"n.d.")</f>
        <v>0.358974358974359</v>
      </c>
      <c r="N25" s="75" t="n">
        <f aca="false">IF(ISNUMBER(N23),N24/N23,"n.d.")</f>
        <v>0.108615049073064</v>
      </c>
      <c r="O25" s="75" t="n">
        <f aca="false">IF(ISNUMBER(O23),O24/O23,"n.d.")</f>
        <v>0.530322230267922</v>
      </c>
      <c r="P25" s="75" t="n">
        <f aca="false">IF(ISNUMBER(P23),P24/P23,"n.d.")</f>
        <v>0.189600150178337</v>
      </c>
      <c r="Q25" s="75" t="n">
        <f aca="false">IF(ISNUMBER(Q23),Q24/Q23,"n.d.")</f>
        <v>0.324281150159744</v>
      </c>
      <c r="R25" s="75" t="n">
        <f aca="false">IF(ISNUMBER(R23),R24/R23,"n.d.")</f>
        <v>0.863636363636364</v>
      </c>
      <c r="S25" s="75" t="n">
        <f aca="false">IF(ISNUMBER(S23),S24/S23,"n.d.")</f>
        <v>0.927551020408163</v>
      </c>
      <c r="T25" s="75" t="n">
        <f aca="false">IF(ISNUMBER(T23),T24/T23,"n.d.")</f>
        <v>0.276119402985075</v>
      </c>
      <c r="U25" s="75" t="n">
        <f aca="false">IF(ISNUMBER(U23),U24/U23,"n.d.")</f>
        <v>0.977064220183486</v>
      </c>
      <c r="V25" s="75" t="n">
        <f aca="false">IF(ISNUMBER(V23),V24/V23,"n.d.")</f>
        <v>0.154498879282741</v>
      </c>
      <c r="W25" s="75" t="n">
        <f aca="false">IF(ISNUMBER(W23),W24/W23,"n.d.")</f>
        <v>0.65650406504065</v>
      </c>
      <c r="X25" s="75" t="n">
        <f aca="false">IF(ISNUMBER(X23),X24/X23,"n.d.")</f>
        <v>0.0452178679090162</v>
      </c>
      <c r="Y25" s="75" t="n">
        <f aca="false">IF(ISNUMBER(Y23),Y24/Y23,"n.d.")</f>
        <v>0.605714285714286</v>
      </c>
      <c r="Z25" s="75" t="n">
        <f aca="false">IF(ISNUMBER(Z23),Z24/Z23,"n.d.")</f>
        <v>0.270979020979021</v>
      </c>
      <c r="AA25" s="75" t="n">
        <f aca="false">IF(ISNUMBER(AA23),AA24/AA23,"n.d.")</f>
        <v>0.79</v>
      </c>
      <c r="AB25" s="75" t="n">
        <f aca="false">IF(ISNUMBER(AB23),AB24/AB23,"n.d.")</f>
        <v>0.198863636363636</v>
      </c>
      <c r="AC25" s="75" t="n">
        <f aca="false">IF(ISNUMBER(AC23),AC24/AC23,"n.d.")</f>
        <v>0.106238361266294</v>
      </c>
      <c r="AD25" s="75" t="n">
        <f aca="false">IF(ISNUMBER(AD23),AD24/AD23,"n.d.")</f>
        <v>0.613413304252999</v>
      </c>
      <c r="AE25" s="75" t="n">
        <f aca="false">IF(ISNUMBER(AE23),AE24/AE23,"n.d.")</f>
        <v>0.455396475770925</v>
      </c>
      <c r="AF25" s="75" t="n">
        <f aca="false">IF(ISNUMBER(AF23),AF24/AF23,"n.d.")</f>
        <v>0.286148693767272</v>
      </c>
    </row>
    <row r="26" customFormat="false" ht="23.85" hidden="false" customHeight="false" outlineLevel="0" collapsed="false">
      <c r="A26" s="4" t="s">
        <v>856</v>
      </c>
      <c r="B26" s="76" t="s">
        <v>857</v>
      </c>
      <c r="C26" s="38"/>
      <c r="D26" s="44"/>
      <c r="E26" s="77" t="n">
        <v>4257673</v>
      </c>
      <c r="F26" s="77" t="n">
        <v>596239</v>
      </c>
      <c r="G26" s="77" t="n">
        <v>535538</v>
      </c>
      <c r="H26" s="77" t="n">
        <v>135041</v>
      </c>
      <c r="I26" s="77" t="n">
        <v>200652</v>
      </c>
      <c r="J26" s="77" t="n">
        <v>135075</v>
      </c>
      <c r="K26" s="77" t="n">
        <v>396091</v>
      </c>
      <c r="L26" s="77" t="n">
        <v>187350</v>
      </c>
      <c r="M26" s="77" t="n">
        <v>274966</v>
      </c>
      <c r="N26" s="77" t="n">
        <v>4419080</v>
      </c>
      <c r="O26" s="77" t="n">
        <v>5935591</v>
      </c>
      <c r="P26" s="77" t="n">
        <v>713407</v>
      </c>
      <c r="Q26" s="77" t="n">
        <v>331623</v>
      </c>
      <c r="R26" s="77" t="n">
        <v>244320</v>
      </c>
      <c r="S26" s="77" t="n">
        <v>158277</v>
      </c>
      <c r="T26" s="77" t="n">
        <v>68865</v>
      </c>
      <c r="U26" s="77" t="n">
        <v>132067</v>
      </c>
      <c r="V26" s="77" t="n">
        <v>831413</v>
      </c>
      <c r="W26" s="77" t="n">
        <v>1055532</v>
      </c>
      <c r="X26" s="77" t="n">
        <v>1122061</v>
      </c>
      <c r="Y26" s="77" t="n">
        <v>486518</v>
      </c>
      <c r="Z26" s="77" t="n">
        <v>223782</v>
      </c>
      <c r="AA26" s="77" t="n">
        <v>161007</v>
      </c>
      <c r="AB26" s="77" t="n">
        <v>228390</v>
      </c>
      <c r="AC26" s="77" t="n">
        <v>4296727</v>
      </c>
      <c r="AD26" s="77" t="n">
        <v>429685</v>
      </c>
      <c r="AE26" s="77" t="n">
        <v>211288</v>
      </c>
      <c r="AF26" s="78" t="n">
        <f aca="false">SUM(E26:AE26)</f>
        <v>27768258</v>
      </c>
    </row>
    <row r="28" customFormat="false" ht="30" hidden="false" customHeight="true" outlineLevel="0" collapsed="false">
      <c r="A28" s="56" t="s">
        <v>858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</row>
    <row r="29" customFormat="false" ht="30" hidden="false" customHeight="true" outlineLevel="0" collapsed="false">
      <c r="A29" s="56" t="s">
        <v>859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</row>
  </sheetData>
  <mergeCells count="2">
    <mergeCell ref="A28:T28"/>
    <mergeCell ref="A29:T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true"/>
  </sheetPr>
  <dimension ref="A1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1" t="s">
        <v>860</v>
      </c>
    </row>
    <row r="2" customFormat="false" ht="15" hidden="false" customHeight="false" outlineLevel="0" collapsed="false">
      <c r="A2" s="2" t="s">
        <v>861</v>
      </c>
    </row>
    <row r="4" customFormat="false" ht="21.75" hidden="false" customHeight="true" outlineLevel="0" collapsed="false">
      <c r="A4" s="46" t="s">
        <v>862</v>
      </c>
      <c r="B4" s="47"/>
      <c r="C4" s="47"/>
      <c r="D4" s="47"/>
      <c r="E4" s="47"/>
      <c r="F4" s="47"/>
      <c r="G4" s="47"/>
      <c r="H4" s="47"/>
      <c r="I4" s="47"/>
    </row>
    <row r="5" customFormat="false" ht="30" hidden="false" customHeight="true" outlineLevel="0" collapsed="false">
      <c r="A5" s="9" t="s">
        <v>137</v>
      </c>
      <c r="B5" s="9" t="s">
        <v>863</v>
      </c>
      <c r="C5" s="9"/>
      <c r="D5" s="9"/>
      <c r="E5" s="9"/>
      <c r="F5" s="9"/>
      <c r="G5" s="9"/>
      <c r="H5" s="9"/>
      <c r="I5" s="9" t="s">
        <v>864</v>
      </c>
    </row>
    <row r="6" customFormat="false" ht="15" hidden="false" customHeight="false" outlineLevel="0" collapsed="false">
      <c r="A6" s="38" t="s">
        <v>865</v>
      </c>
      <c r="B6" s="63" t="n">
        <v>560</v>
      </c>
      <c r="I6" s="4" t="s">
        <v>866</v>
      </c>
    </row>
    <row r="7" customFormat="false" ht="15" hidden="false" customHeight="false" outlineLevel="0" collapsed="false">
      <c r="A7" s="38" t="s">
        <v>867</v>
      </c>
      <c r="B7" s="63" t="n">
        <v>1500</v>
      </c>
      <c r="I7" s="4" t="s">
        <v>868</v>
      </c>
    </row>
    <row r="8" customFormat="false" ht="15" hidden="false" customHeight="false" outlineLevel="0" collapsed="false">
      <c r="A8" s="38" t="s">
        <v>869</v>
      </c>
      <c r="B8" s="63" t="n">
        <v>400</v>
      </c>
      <c r="I8" s="4" t="s">
        <v>870</v>
      </c>
    </row>
    <row r="9" customFormat="false" ht="15" hidden="false" customHeight="false" outlineLevel="0" collapsed="false">
      <c r="A9" s="38" t="s">
        <v>871</v>
      </c>
      <c r="B9" s="63" t="n">
        <v>3400</v>
      </c>
      <c r="I9" s="4" t="s">
        <v>872</v>
      </c>
    </row>
    <row r="10" customFormat="false" ht="15" hidden="false" customHeight="false" outlineLevel="0" collapsed="false">
      <c r="A10" s="38" t="s">
        <v>873</v>
      </c>
      <c r="B10" s="63" t="n">
        <v>2600</v>
      </c>
      <c r="I10" s="4" t="s">
        <v>874</v>
      </c>
    </row>
    <row r="11" customFormat="false" ht="23.85" hidden="false" customHeight="false" outlineLevel="0" collapsed="false">
      <c r="A11" s="38" t="s">
        <v>875</v>
      </c>
      <c r="B11" s="63" t="n">
        <v>110</v>
      </c>
      <c r="I11" s="4" t="s">
        <v>876</v>
      </c>
    </row>
    <row r="12" customFormat="false" ht="22.35" hidden="false" customHeight="false" outlineLevel="0" collapsed="false">
      <c r="A12" s="38" t="s">
        <v>877</v>
      </c>
      <c r="B12" s="63" t="n">
        <v>21000</v>
      </c>
      <c r="I12" s="4" t="s">
        <v>878</v>
      </c>
    </row>
    <row r="13" customFormat="false" ht="32.8" hidden="false" customHeight="false" outlineLevel="0" collapsed="false">
      <c r="A13" s="38" t="s">
        <v>879</v>
      </c>
      <c r="B13" s="63" t="n">
        <v>200</v>
      </c>
      <c r="I13" s="4" t="s">
        <v>880</v>
      </c>
    </row>
    <row r="14" customFormat="false" ht="15" hidden="false" customHeight="false" outlineLevel="0" collapsed="false">
      <c r="A14" s="38" t="s">
        <v>881</v>
      </c>
      <c r="B14" s="63" t="n">
        <v>35</v>
      </c>
      <c r="I14" s="4" t="s">
        <v>882</v>
      </c>
    </row>
    <row r="15" customFormat="false" ht="15" hidden="false" customHeight="false" outlineLevel="0" collapsed="false">
      <c r="A15" s="38" t="s">
        <v>883</v>
      </c>
      <c r="B15" s="63" t="n">
        <v>140</v>
      </c>
      <c r="I15" s="4" t="s">
        <v>884</v>
      </c>
    </row>
    <row r="16" customFormat="false" ht="15" hidden="false" customHeight="false" outlineLevel="0" collapsed="false">
      <c r="A16" s="38" t="s">
        <v>885</v>
      </c>
      <c r="B16" s="63" t="n">
        <v>1000</v>
      </c>
      <c r="I16" s="4" t="s">
        <v>886</v>
      </c>
    </row>
    <row r="17" customFormat="false" ht="15" hidden="false" customHeight="false" outlineLevel="0" collapsed="false">
      <c r="A17" s="38" t="s">
        <v>887</v>
      </c>
      <c r="B17" s="63" t="n">
        <v>1000</v>
      </c>
      <c r="I17" s="4" t="s">
        <v>870</v>
      </c>
    </row>
    <row r="18" customFormat="false" ht="23.85" hidden="false" customHeight="false" outlineLevel="0" collapsed="false">
      <c r="A18" s="38" t="s">
        <v>888</v>
      </c>
      <c r="B18" s="63" t="n">
        <v>10000</v>
      </c>
      <c r="I18" s="4" t="s">
        <v>889</v>
      </c>
    </row>
    <row r="19" customFormat="false" ht="15" hidden="false" customHeight="false" outlineLevel="0" collapsed="false">
      <c r="A19" s="38" t="s">
        <v>890</v>
      </c>
      <c r="B19" s="63" t="n">
        <v>50</v>
      </c>
      <c r="I19" s="4" t="s">
        <v>891</v>
      </c>
    </row>
    <row r="20" customFormat="false" ht="15" hidden="false" customHeight="false" outlineLevel="0" collapsed="false">
      <c r="A20" s="38" t="s">
        <v>892</v>
      </c>
      <c r="B20" s="63" t="n">
        <v>20</v>
      </c>
      <c r="I20" s="4" t="s">
        <v>870</v>
      </c>
    </row>
    <row r="21" customFormat="false" ht="22.35" hidden="false" customHeight="false" outlineLevel="0" collapsed="false">
      <c r="A21" s="38" t="s">
        <v>893</v>
      </c>
      <c r="B21" s="63" t="n">
        <v>100</v>
      </c>
      <c r="I21" s="4" t="s">
        <v>894</v>
      </c>
    </row>
    <row r="22" customFormat="false" ht="15" hidden="false" customHeight="false" outlineLevel="0" collapsed="false">
      <c r="A22" s="38" t="s">
        <v>895</v>
      </c>
      <c r="B22" s="62" t="n">
        <v>0.5</v>
      </c>
      <c r="I22" s="4" t="s">
        <v>870</v>
      </c>
    </row>
    <row r="23" customFormat="false" ht="23.85" hidden="false" customHeight="false" outlineLevel="0" collapsed="false">
      <c r="A23" s="38" t="s">
        <v>896</v>
      </c>
      <c r="B23" s="63" t="n">
        <v>180</v>
      </c>
      <c r="I23" s="4" t="s">
        <v>897</v>
      </c>
    </row>
    <row r="24" customFormat="false" ht="15" hidden="false" customHeight="false" outlineLevel="0" collapsed="false">
      <c r="A24" s="38" t="s">
        <v>898</v>
      </c>
      <c r="B24" s="62" t="n">
        <v>0.5</v>
      </c>
      <c r="I24" s="4" t="s">
        <v>870</v>
      </c>
    </row>
    <row r="25" customFormat="false" ht="23.85" hidden="false" customHeight="false" outlineLevel="0" collapsed="false">
      <c r="A25" s="38" t="s">
        <v>899</v>
      </c>
      <c r="B25" s="63" t="n">
        <v>365</v>
      </c>
      <c r="I25" s="4" t="s">
        <v>900</v>
      </c>
    </row>
    <row r="27" customFormat="false" ht="21.75" hidden="false" customHeight="true" outlineLevel="0" collapsed="false">
      <c r="A27" s="46" t="s">
        <v>901</v>
      </c>
      <c r="B27" s="47"/>
      <c r="C27" s="47"/>
      <c r="D27" s="47"/>
      <c r="E27" s="47"/>
      <c r="F27" s="47"/>
      <c r="G27" s="47"/>
      <c r="H27" s="47"/>
      <c r="I27" s="47"/>
    </row>
    <row r="28" customFormat="false" ht="30" hidden="false" customHeight="true" outlineLevel="0" collapsed="false">
      <c r="A28" s="9" t="s">
        <v>137</v>
      </c>
      <c r="B28" s="9" t="s">
        <v>371</v>
      </c>
      <c r="C28" s="9" t="s">
        <v>372</v>
      </c>
      <c r="D28" s="9" t="s">
        <v>373</v>
      </c>
      <c r="E28" s="9" t="s">
        <v>374</v>
      </c>
      <c r="F28" s="9" t="s">
        <v>375</v>
      </c>
      <c r="G28" s="9" t="s">
        <v>376</v>
      </c>
      <c r="H28" s="9"/>
      <c r="I28" s="9" t="s">
        <v>141</v>
      </c>
    </row>
    <row r="29" customFormat="false" ht="15" hidden="false" customHeight="false" outlineLevel="0" collapsed="false">
      <c r="A29" s="38" t="s">
        <v>191</v>
      </c>
      <c r="B29" s="55" t="n">
        <f aca="false">IF(ISNUMBER('Tracker 2027-2032'!E11),'Tracker 2027-2032'!E11,0)</f>
        <v>2800</v>
      </c>
      <c r="C29" s="55" t="n">
        <f aca="false">IF(ISNUMBER('Tracker 2027-2032'!F11),'Tracker 2027-2032'!F11,0)</f>
        <v>8250</v>
      </c>
      <c r="D29" s="55" t="n">
        <f aca="false">IF(ISNUMBER('Tracker 2027-2032'!G11),'Tracker 2027-2032'!G11,0)</f>
        <v>22400</v>
      </c>
      <c r="E29" s="55" t="n">
        <f aca="false">IF(ISNUMBER('Tracker 2027-2032'!H11),'Tracker 2027-2032'!H11,0)</f>
        <v>42500</v>
      </c>
      <c r="F29" s="55" t="n">
        <f aca="false">IF(ISNUMBER('Tracker 2027-2032'!I11),'Tracker 2027-2032'!I11,0)</f>
        <v>47500</v>
      </c>
      <c r="G29" s="55" t="n">
        <f aca="false">IF(ISNUMBER('Tracker 2027-2032'!J11),'Tracker 2027-2032'!J11,0)</f>
        <v>50000</v>
      </c>
      <c r="I29" s="4" t="s">
        <v>902</v>
      </c>
    </row>
    <row r="30" customFormat="false" ht="15" hidden="false" customHeight="false" outlineLevel="0" collapsed="false">
      <c r="A30" s="38" t="s">
        <v>903</v>
      </c>
      <c r="B30" s="55" t="n">
        <f aca="false">IF(ISNUMBER('Tracker 2027-2032'!E12),'Tracker 2027-2032'!E12,0)</f>
        <v>11200</v>
      </c>
      <c r="C30" s="55" t="n">
        <f aca="false">IF(ISNUMBER('Tracker 2027-2032'!F12),'Tracker 2027-2032'!F12,0)</f>
        <v>19250</v>
      </c>
      <c r="D30" s="55" t="n">
        <f aca="false">IF(ISNUMBER('Tracker 2027-2032'!G12),'Tracker 2027-2032'!G12,0)</f>
        <v>33600</v>
      </c>
      <c r="E30" s="55" t="n">
        <f aca="false">IF(ISNUMBER('Tracker 2027-2032'!H12),'Tracker 2027-2032'!H12,0)</f>
        <v>42500</v>
      </c>
      <c r="F30" s="55" t="n">
        <f aca="false">IF(ISNUMBER('Tracker 2027-2032'!I12),'Tracker 2027-2032'!I12,0)</f>
        <v>47500</v>
      </c>
      <c r="G30" s="55" t="n">
        <f aca="false">IF(ISNUMBER('Tracker 2027-2032'!J12),'Tracker 2027-2032'!J12,0)</f>
        <v>50000</v>
      </c>
      <c r="I30" s="4" t="s">
        <v>902</v>
      </c>
    </row>
    <row r="31" customFormat="false" ht="15" hidden="false" customHeight="false" outlineLevel="0" collapsed="false">
      <c r="A31" s="38" t="s">
        <v>904</v>
      </c>
      <c r="B31" s="55" t="n">
        <f aca="false">IF(ISNUMBER('Tracker 2027-2032'!E13),'Tracker 2027-2032'!E13,0)</f>
        <v>0.4</v>
      </c>
      <c r="C31" s="55" t="n">
        <f aca="false">IF(ISNUMBER('Tracker 2027-2032'!F13),'Tracker 2027-2032'!F13,0)</f>
        <v>0.35</v>
      </c>
      <c r="D31" s="55" t="n">
        <f aca="false">IF(ISNUMBER('Tracker 2027-2032'!G13),'Tracker 2027-2032'!G13,0)</f>
        <v>0.33</v>
      </c>
      <c r="E31" s="55" t="n">
        <f aca="false">IF(ISNUMBER('Tracker 2027-2032'!H13),'Tracker 2027-2032'!H13,0)</f>
        <v>0.33</v>
      </c>
      <c r="F31" s="55" t="n">
        <f aca="false">IF(ISNUMBER('Tracker 2027-2032'!I13),'Tracker 2027-2032'!I13,0)</f>
        <v>0.33</v>
      </c>
      <c r="G31" s="55" t="n">
        <f aca="false">IF(ISNUMBER('Tracker 2027-2032'!J13),'Tracker 2027-2032'!J13,0)</f>
        <v>0.33</v>
      </c>
      <c r="I31" s="4" t="s">
        <v>902</v>
      </c>
    </row>
    <row r="32" customFormat="false" ht="15" hidden="false" customHeight="false" outlineLevel="0" collapsed="false">
      <c r="A32" s="38" t="s">
        <v>567</v>
      </c>
      <c r="B32" s="55" t="n">
        <f aca="false">IF(ISNUMBER('Tracker 2027-2032'!E14),'Tracker 2027-2032'!E14,0)</f>
        <v>120</v>
      </c>
      <c r="C32" s="55" t="n">
        <f aca="false">IF(ISNUMBER('Tracker 2027-2032'!F14),'Tracker 2027-2032'!F14,0)</f>
        <v>90</v>
      </c>
      <c r="D32" s="55" t="n">
        <f aca="false">IF(ISNUMBER('Tracker 2027-2032'!G14),'Tracker 2027-2032'!G14,0)</f>
        <v>75</v>
      </c>
      <c r="E32" s="55" t="n">
        <f aca="false">IF(ISNUMBER('Tracker 2027-2032'!H14),'Tracker 2027-2032'!H14,0)</f>
        <v>60</v>
      </c>
      <c r="F32" s="55" t="n">
        <f aca="false">IF(ISNUMBER('Tracker 2027-2032'!I14),'Tracker 2027-2032'!I14,0)</f>
        <v>60</v>
      </c>
      <c r="G32" s="55" t="n">
        <f aca="false">IF(ISNUMBER('Tracker 2027-2032'!J14),'Tracker 2027-2032'!J14,0)</f>
        <v>60</v>
      </c>
      <c r="I32" s="4" t="s">
        <v>902</v>
      </c>
    </row>
    <row r="33" customFormat="false" ht="15" hidden="false" customHeight="false" outlineLevel="0" collapsed="false">
      <c r="A33" s="38" t="s">
        <v>905</v>
      </c>
      <c r="B33" s="55" t="n">
        <f aca="false">IF(ISNUMBER('Tracker 2027-2032'!E15),'Tracker 2027-2032'!E15,0)</f>
        <v>1733</v>
      </c>
      <c r="C33" s="55" t="n">
        <f aca="false">IF(ISNUMBER('Tracker 2027-2032'!F15),'Tracker 2027-2032'!F15,0)</f>
        <v>1954</v>
      </c>
      <c r="D33" s="55" t="n">
        <f aca="false">IF(ISNUMBER('Tracker 2027-2032'!G15),'Tracker 2027-2032'!G15,0)</f>
        <v>2680</v>
      </c>
      <c r="E33" s="55" t="n">
        <f aca="false">IF(ISNUMBER('Tracker 2027-2032'!H15),'Tracker 2027-2032'!H15,0)</f>
        <v>2712</v>
      </c>
      <c r="F33" s="55" t="n">
        <f aca="false">IF(ISNUMBER('Tracker 2027-2032'!I15),'Tracker 2027-2032'!I15,0)</f>
        <v>3031</v>
      </c>
      <c r="G33" s="55" t="n">
        <f aca="false">IF(ISNUMBER('Tracker 2027-2032'!J15),'Tracker 2027-2032'!J15,0)</f>
        <v>3191</v>
      </c>
      <c r="I33" s="4" t="s">
        <v>902</v>
      </c>
    </row>
    <row r="34" customFormat="false" ht="15" hidden="false" customHeight="false" outlineLevel="0" collapsed="false">
      <c r="A34" s="38" t="s">
        <v>906</v>
      </c>
      <c r="B34" s="55" t="n">
        <f aca="false">IF(ISNUMBER('Tracker 2027-2032'!E20),'Tracker 2027-2032'!E20,0)</f>
        <v>2000</v>
      </c>
      <c r="C34" s="55" t="n">
        <f aca="false">IF(ISNUMBER('Tracker 2027-2032'!F20),'Tracker 2027-2032'!F20,0)</f>
        <v>4000</v>
      </c>
      <c r="D34" s="55" t="n">
        <f aca="false">IF(ISNUMBER('Tracker 2027-2032'!G20),'Tracker 2027-2032'!G20,0)</f>
        <v>6000</v>
      </c>
      <c r="E34" s="55" t="n">
        <f aca="false">IF(ISNUMBER('Tracker 2027-2032'!H20),'Tracker 2027-2032'!H20,0)</f>
        <v>7000</v>
      </c>
      <c r="F34" s="55" t="n">
        <f aca="false">IF(ISNUMBER('Tracker 2027-2032'!I20),'Tracker 2027-2032'!I20,0)</f>
        <v>8000</v>
      </c>
      <c r="G34" s="55" t="n">
        <f aca="false">IF(ISNUMBER('Tracker 2027-2032'!J20),'Tracker 2027-2032'!J20,0)</f>
        <v>8000</v>
      </c>
      <c r="I34" s="4" t="s">
        <v>902</v>
      </c>
    </row>
    <row r="35" customFormat="false" ht="15" hidden="false" customHeight="false" outlineLevel="0" collapsed="false">
      <c r="A35" s="38" t="s">
        <v>907</v>
      </c>
      <c r="B35" s="55" t="n">
        <f aca="false">IF(ISNUMBER('Tracker 2027-2032'!E21),'Tracker 2027-2032'!E21,0)</f>
        <v>500</v>
      </c>
      <c r="C35" s="55" t="n">
        <f aca="false">IF(ISNUMBER('Tracker 2027-2032'!F21),'Tracker 2027-2032'!F21,0)</f>
        <v>1000</v>
      </c>
      <c r="D35" s="55" t="n">
        <f aca="false">IF(ISNUMBER('Tracker 2027-2032'!G21),'Tracker 2027-2032'!G21,0)</f>
        <v>1500</v>
      </c>
      <c r="E35" s="55" t="n">
        <f aca="false">IF(ISNUMBER('Tracker 2027-2032'!H21),'Tracker 2027-2032'!H21,0)</f>
        <v>2000</v>
      </c>
      <c r="F35" s="55" t="n">
        <f aca="false">IF(ISNUMBER('Tracker 2027-2032'!I21),'Tracker 2027-2032'!I21,0)</f>
        <v>2000</v>
      </c>
      <c r="G35" s="55" t="n">
        <f aca="false">IF(ISNUMBER('Tracker 2027-2032'!J21),'Tracker 2027-2032'!J21,0)</f>
        <v>2000</v>
      </c>
      <c r="I35" s="4" t="s">
        <v>902</v>
      </c>
    </row>
    <row r="36" customFormat="false" ht="22.35" hidden="false" customHeight="false" outlineLevel="0" collapsed="false">
      <c r="A36" s="38" t="s">
        <v>908</v>
      </c>
      <c r="B36" s="55" t="n">
        <f aca="false">IF(ISNUMBER('Tracker 2027-2032'!E24),'Tracker 2027-2032'!E24*60000,0)</f>
        <v>60000</v>
      </c>
      <c r="C36" s="55" t="n">
        <f aca="false">IF(ISNUMBER('Tracker 2027-2032'!F24),'Tracker 2027-2032'!F24*60000,0)</f>
        <v>60000</v>
      </c>
      <c r="D36" s="55" t="n">
        <f aca="false">IF(ISNUMBER('Tracker 2027-2032'!G24),'Tracker 2027-2032'!G24*60000,0)</f>
        <v>60000</v>
      </c>
      <c r="E36" s="55" t="n">
        <f aca="false">IF(ISNUMBER('Tracker 2027-2032'!H24),'Tracker 2027-2032'!H24*60000,0)</f>
        <v>60000</v>
      </c>
      <c r="F36" s="55" t="n">
        <f aca="false">IF(ISNUMBER('Tracker 2027-2032'!I24),'Tracker 2027-2032'!I24*60000,0)</f>
        <v>60000</v>
      </c>
      <c r="G36" s="55" t="n">
        <f aca="false">IF(ISNUMBER('Tracker 2027-2032'!J24),'Tracker 2027-2032'!J24*60000,0)</f>
        <v>60000</v>
      </c>
      <c r="I36" s="4" t="s">
        <v>909</v>
      </c>
    </row>
    <row r="37" customFormat="false" ht="15" hidden="false" customHeight="false" outlineLevel="0" collapsed="false">
      <c r="A37" s="38" t="s">
        <v>910</v>
      </c>
      <c r="B37" s="55" t="n">
        <f aca="false">IF(ISNUMBER('Tracker 2027-2032'!E47),'Tracker 2027-2032'!E47,0)</f>
        <v>2000</v>
      </c>
      <c r="C37" s="55" t="n">
        <f aca="false">IF(ISNUMBER('Tracker 2027-2032'!F47),'Tracker 2027-2032'!F47,0)</f>
        <v>4000</v>
      </c>
      <c r="D37" s="55" t="n">
        <f aca="false">IF(ISNUMBER('Tracker 2027-2032'!G47),'Tracker 2027-2032'!G47,0)</f>
        <v>5000</v>
      </c>
      <c r="E37" s="55" t="n">
        <f aca="false">IF(ISNUMBER('Tracker 2027-2032'!H47),'Tracker 2027-2032'!H47,0)</f>
        <v>5000</v>
      </c>
      <c r="F37" s="55" t="n">
        <f aca="false">IF(ISNUMBER('Tracker 2027-2032'!I47),'Tracker 2027-2032'!I47,0)</f>
        <v>5000</v>
      </c>
      <c r="G37" s="55" t="n">
        <f aca="false">IF(ISNUMBER('Tracker 2027-2032'!J47),'Tracker 2027-2032'!J47,0)</f>
        <v>5000</v>
      </c>
      <c r="I37" s="4" t="s">
        <v>902</v>
      </c>
    </row>
    <row r="38" customFormat="false" ht="15" hidden="false" customHeight="false" outlineLevel="0" collapsed="false">
      <c r="A38" s="38" t="s">
        <v>911</v>
      </c>
      <c r="B38" s="55" t="n">
        <f aca="false">IF(ISNUMBER('Tracker 2027-2032'!E51),'Tracker 2027-2032'!E51,0)</f>
        <v>40000</v>
      </c>
      <c r="C38" s="55" t="n">
        <f aca="false">IF(ISNUMBER('Tracker 2027-2032'!F51),'Tracker 2027-2032'!F51,0)</f>
        <v>80600</v>
      </c>
      <c r="D38" s="55" t="n">
        <f aca="false">IF(ISNUMBER('Tracker 2027-2032'!G51),'Tracker 2027-2032'!G51,0)</f>
        <v>0</v>
      </c>
      <c r="E38" s="55" t="n">
        <f aca="false">IF(ISNUMBER('Tracker 2027-2032'!H51),'Tracker 2027-2032'!H51,0)</f>
        <v>0</v>
      </c>
      <c r="F38" s="55" t="n">
        <f aca="false">IF(ISNUMBER('Tracker 2027-2032'!I51),'Tracker 2027-2032'!I51,0)</f>
        <v>0</v>
      </c>
      <c r="G38" s="55" t="n">
        <f aca="false">IF(ISNUMBER('Tracker 2027-2032'!J51),'Tracker 2027-2032'!J51,0)</f>
        <v>0</v>
      </c>
      <c r="I38" s="4" t="s">
        <v>902</v>
      </c>
    </row>
    <row r="39" customFormat="false" ht="15" hidden="false" customHeight="false" outlineLevel="0" collapsed="false">
      <c r="A39" s="38" t="s">
        <v>912</v>
      </c>
      <c r="B39" s="55" t="n">
        <f aca="false">IF(ISNUMBER('Tracker 2027-2032'!E43),'Tracker 2027-2032'!E43,0)</f>
        <v>0</v>
      </c>
      <c r="C39" s="55" t="n">
        <f aca="false">IF(ISNUMBER('Tracker 2027-2032'!F43),'Tracker 2027-2032'!F43,0)</f>
        <v>0</v>
      </c>
      <c r="D39" s="55" t="n">
        <f aca="false">IF(ISNUMBER('Tracker 2027-2032'!G43),'Tracker 2027-2032'!G43,0)</f>
        <v>0</v>
      </c>
      <c r="E39" s="55" t="n">
        <f aca="false">IF(ISNUMBER('Tracker 2027-2032'!H43),'Tracker 2027-2032'!H43,0)</f>
        <v>500</v>
      </c>
      <c r="F39" s="55" t="n">
        <f aca="false">IF(ISNUMBER('Tracker 2027-2032'!I43),'Tracker 2027-2032'!I43,0)</f>
        <v>2000</v>
      </c>
      <c r="G39" s="55" t="n">
        <f aca="false">IF(ISNUMBER('Tracker 2027-2032'!J43),'Tracker 2027-2032'!J43,0)</f>
        <v>3000</v>
      </c>
      <c r="I39" s="4" t="s">
        <v>902</v>
      </c>
    </row>
    <row r="40" customFormat="false" ht="15" hidden="false" customHeight="false" outlineLevel="0" collapsed="false">
      <c r="A40" s="38" t="s">
        <v>913</v>
      </c>
      <c r="B40" s="55" t="n">
        <f aca="false">IF(ISNUMBER('Tracker 2027-2032'!E44),'Tracker 2027-2032'!E44,0)</f>
        <v>1000</v>
      </c>
      <c r="C40" s="55" t="n">
        <f aca="false">IF(ISNUMBER('Tracker 2027-2032'!F44),'Tracker 2027-2032'!F44,0)</f>
        <v>3000</v>
      </c>
      <c r="D40" s="55" t="n">
        <f aca="false">IF(ISNUMBER('Tracker 2027-2032'!G44),'Tracker 2027-2032'!G44,0)</f>
        <v>5000</v>
      </c>
      <c r="E40" s="55" t="n">
        <f aca="false">IF(ISNUMBER('Tracker 2027-2032'!H44),'Tracker 2027-2032'!H44,0)</f>
        <v>8000</v>
      </c>
      <c r="F40" s="55" t="n">
        <f aca="false">IF(ISNUMBER('Tracker 2027-2032'!I44),'Tracker 2027-2032'!I44,0)</f>
        <v>10000</v>
      </c>
      <c r="G40" s="55" t="n">
        <f aca="false">IF(ISNUMBER('Tracker 2027-2032'!J44),'Tracker 2027-2032'!J44,0)</f>
        <v>10000</v>
      </c>
      <c r="I40" s="4" t="s">
        <v>902</v>
      </c>
    </row>
    <row r="42" customFormat="false" ht="21.75" hidden="false" customHeight="true" outlineLevel="0" collapsed="false">
      <c r="A42" s="46" t="s">
        <v>914</v>
      </c>
      <c r="B42" s="47"/>
      <c r="C42" s="47"/>
      <c r="D42" s="47"/>
      <c r="E42" s="47"/>
      <c r="F42" s="47"/>
      <c r="G42" s="47"/>
      <c r="H42" s="47"/>
      <c r="I42" s="47"/>
    </row>
    <row r="43" customFormat="false" ht="30" hidden="false" customHeight="true" outlineLevel="0" collapsed="false">
      <c r="A43" s="9" t="s">
        <v>137</v>
      </c>
      <c r="B43" s="9" t="s">
        <v>371</v>
      </c>
      <c r="C43" s="9" t="s">
        <v>372</v>
      </c>
      <c r="D43" s="9" t="s">
        <v>373</v>
      </c>
      <c r="E43" s="9" t="s">
        <v>374</v>
      </c>
      <c r="F43" s="9" t="s">
        <v>375</v>
      </c>
      <c r="G43" s="9" t="s">
        <v>376</v>
      </c>
      <c r="H43" s="9" t="s">
        <v>915</v>
      </c>
      <c r="I43" s="9" t="s">
        <v>916</v>
      </c>
    </row>
    <row r="44" customFormat="false" ht="15" hidden="false" customHeight="false" outlineLevel="0" collapsed="false">
      <c r="A44" s="38" t="s">
        <v>917</v>
      </c>
      <c r="B44" s="79" t="n">
        <f aca="false">(B29*($B$6+$B$7+$B$8))/1000000</f>
        <v>6.888</v>
      </c>
      <c r="C44" s="79" t="n">
        <f aca="false">(C29*($B$6+$B$7+$B$8))/1000000</f>
        <v>20.295</v>
      </c>
      <c r="D44" s="79" t="n">
        <f aca="false">(D29*($B$6+$B$7+$B$8))/1000000</f>
        <v>55.104</v>
      </c>
      <c r="E44" s="79" t="n">
        <f aca="false">(E29*($B$6+$B$7+$B$8))/1000000</f>
        <v>104.55</v>
      </c>
      <c r="F44" s="79" t="n">
        <f aca="false">(F29*($B$6+$B$7+$B$8))/1000000</f>
        <v>116.85</v>
      </c>
      <c r="G44" s="79" t="n">
        <f aca="false">(G29*($B$6+$B$7+$B$8))/1000000</f>
        <v>123</v>
      </c>
      <c r="H44" s="80" t="n">
        <f aca="false">SUM(B44:G44)</f>
        <v>426.687</v>
      </c>
      <c r="I44" s="4" t="s">
        <v>918</v>
      </c>
    </row>
    <row r="45" customFormat="false" ht="15" hidden="false" customHeight="false" outlineLevel="0" collapsed="false">
      <c r="A45" s="38" t="s">
        <v>919</v>
      </c>
      <c r="B45" s="79" t="n">
        <f aca="false">(B30*($B$22*$B$10+(1-$B$22)*$B$9))/1000000</f>
        <v>33.6</v>
      </c>
      <c r="C45" s="79" t="n">
        <f aca="false">(C30*($B$22*$B$10+(1-$B$22)*$B$9))/1000000</f>
        <v>57.75</v>
      </c>
      <c r="D45" s="79" t="n">
        <f aca="false">(D30*($B$22*$B$10+(1-$B$22)*$B$9))/1000000</f>
        <v>100.8</v>
      </c>
      <c r="E45" s="79" t="n">
        <f aca="false">(E30*($B$22*$B$10+(1-$B$22)*$B$9))/1000000</f>
        <v>127.5</v>
      </c>
      <c r="F45" s="79" t="n">
        <f aca="false">(F30*($B$22*$B$10+(1-$B$22)*$B$9))/1000000</f>
        <v>142.5</v>
      </c>
      <c r="G45" s="79" t="n">
        <f aca="false">(G30*($B$22*$B$10+(1-$B$22)*$B$9))/1000000</f>
        <v>150</v>
      </c>
      <c r="H45" s="80" t="n">
        <f aca="false">SUM(B45:G45)</f>
        <v>612.15</v>
      </c>
      <c r="I45" s="4" t="s">
        <v>920</v>
      </c>
    </row>
    <row r="46" customFormat="false" ht="15" hidden="false" customHeight="false" outlineLevel="0" collapsed="false">
      <c r="A46" s="38" t="s">
        <v>921</v>
      </c>
      <c r="B46" s="79" t="n">
        <f aca="false">(B30*B31*B32*$B$11)/1000000</f>
        <v>59.136</v>
      </c>
      <c r="C46" s="79" t="n">
        <f aca="false">(C30*C31*C32*$B$11)/1000000</f>
        <v>66.70125</v>
      </c>
      <c r="D46" s="79" t="n">
        <f aca="false">(D30*D31*D32*$B$11)/1000000</f>
        <v>91.476</v>
      </c>
      <c r="E46" s="79" t="n">
        <f aca="false">(E30*E31*E32*$B$11)/1000000</f>
        <v>92.565</v>
      </c>
      <c r="F46" s="79" t="n">
        <f aca="false">(F30*F31*F32*$B$11)/1000000</f>
        <v>103.455</v>
      </c>
      <c r="G46" s="79" t="n">
        <f aca="false">(G30*G31*G32*$B$11)/1000000</f>
        <v>108.9</v>
      </c>
      <c r="H46" s="80" t="n">
        <f aca="false">SUM(B46:G46)</f>
        <v>522.23325</v>
      </c>
      <c r="I46" s="4" t="s">
        <v>922</v>
      </c>
    </row>
    <row r="47" customFormat="false" ht="22.35" hidden="false" customHeight="false" outlineLevel="0" collapsed="false">
      <c r="A47" s="38" t="s">
        <v>923</v>
      </c>
      <c r="B47" s="79" t="n">
        <f aca="false">(MAX(0,B33-MAX(883,0))*$B$12)/1000000</f>
        <v>17.85</v>
      </c>
      <c r="C47" s="79" t="n">
        <f aca="false">(MAX(0,C33-MAX(883,MAX($B$33:B$33)))*$B$12)/1000000</f>
        <v>4.641</v>
      </c>
      <c r="D47" s="79" t="n">
        <f aca="false">(MAX(0,D33-MAX(883,MAX($B$33:C$33)))*$B$12)/1000000</f>
        <v>15.246</v>
      </c>
      <c r="E47" s="79" t="n">
        <f aca="false">(MAX(0,E33-MAX(883,MAX($B$33:D$33)))*$B$12)/1000000</f>
        <v>0.672</v>
      </c>
      <c r="F47" s="79" t="n">
        <f aca="false">(MAX(0,F33-MAX(883,MAX($B$33:E$33)))*$B$12)/1000000</f>
        <v>6.699</v>
      </c>
      <c r="G47" s="79" t="n">
        <f aca="false">(MAX(0,G33-MAX(883,MAX($B$33:F$33)))*$B$12)/1000000</f>
        <v>3.36</v>
      </c>
      <c r="H47" s="80" t="n">
        <f aca="false">SUM(B47:G47)</f>
        <v>48.468</v>
      </c>
      <c r="I47" s="4" t="s">
        <v>924</v>
      </c>
    </row>
    <row r="48" customFormat="false" ht="15" hidden="false" customHeight="false" outlineLevel="0" collapsed="false">
      <c r="A48" s="38" t="s">
        <v>925</v>
      </c>
      <c r="B48" s="79" t="n">
        <f aca="false">(B36*$B$13)/1000000</f>
        <v>12</v>
      </c>
      <c r="C48" s="79" t="n">
        <f aca="false">(C36*$B$13)/1000000</f>
        <v>12</v>
      </c>
      <c r="D48" s="79" t="n">
        <f aca="false">(D36*$B$13)/1000000</f>
        <v>12</v>
      </c>
      <c r="E48" s="79" t="n">
        <f aca="false">(E36*$B$13)/1000000</f>
        <v>12</v>
      </c>
      <c r="F48" s="79" t="n">
        <f aca="false">(F36*$B$13)/1000000</f>
        <v>12</v>
      </c>
      <c r="G48" s="79" t="n">
        <f aca="false">(G36*$B$13)/1000000</f>
        <v>12</v>
      </c>
      <c r="H48" s="80" t="n">
        <f aca="false">SUM(B48:G48)</f>
        <v>72</v>
      </c>
      <c r="I48" s="4" t="s">
        <v>926</v>
      </c>
    </row>
    <row r="49" customFormat="false" ht="22.35" hidden="false" customHeight="false" outlineLevel="0" collapsed="false">
      <c r="A49" s="38" t="s">
        <v>927</v>
      </c>
      <c r="B49" s="79" t="n">
        <f aca="false">(B34*$B$9)/1000000</f>
        <v>6.8</v>
      </c>
      <c r="C49" s="79" t="n">
        <f aca="false">(C34*$B$9)/1000000</f>
        <v>13.6</v>
      </c>
      <c r="D49" s="79" t="n">
        <f aca="false">(D34*$B$9)/1000000</f>
        <v>20.4</v>
      </c>
      <c r="E49" s="79" t="n">
        <f aca="false">(E34*$B$9)/1000000</f>
        <v>23.8</v>
      </c>
      <c r="F49" s="79" t="n">
        <f aca="false">(F34*$B$9)/1000000</f>
        <v>27.2</v>
      </c>
      <c r="G49" s="79" t="n">
        <f aca="false">(G34*$B$9)/1000000</f>
        <v>27.2</v>
      </c>
      <c r="H49" s="80" t="n">
        <f aca="false">SUM(B49:G49)</f>
        <v>119</v>
      </c>
      <c r="I49" s="4" t="s">
        <v>928</v>
      </c>
    </row>
    <row r="50" customFormat="false" ht="15" hidden="false" customHeight="false" outlineLevel="0" collapsed="false">
      <c r="A50" s="38" t="s">
        <v>929</v>
      </c>
      <c r="B50" s="79" t="n">
        <f aca="false">(B37*$B$16)/1000000</f>
        <v>2</v>
      </c>
      <c r="C50" s="79" t="n">
        <f aca="false">(C37*$B$16)/1000000</f>
        <v>4</v>
      </c>
      <c r="D50" s="79" t="n">
        <f aca="false">(D37*$B$16)/1000000</f>
        <v>5</v>
      </c>
      <c r="E50" s="79" t="n">
        <f aca="false">(E37*$B$16)/1000000</f>
        <v>5</v>
      </c>
      <c r="F50" s="79" t="n">
        <f aca="false">(F37*$B$16)/1000000</f>
        <v>5</v>
      </c>
      <c r="G50" s="79" t="n">
        <f aca="false">(G37*$B$16)/1000000</f>
        <v>5</v>
      </c>
      <c r="H50" s="80" t="n">
        <f aca="false">SUM(B50:G50)</f>
        <v>26</v>
      </c>
      <c r="I50" s="4"/>
    </row>
    <row r="51" customFormat="false" ht="15" hidden="false" customHeight="false" outlineLevel="0" collapsed="false">
      <c r="A51" s="38" t="s">
        <v>930</v>
      </c>
      <c r="B51" s="79" t="n">
        <f aca="false">(B38*$B$17)/1000000</f>
        <v>40</v>
      </c>
      <c r="C51" s="79" t="n">
        <f aca="false">(C38*$B$17)/1000000</f>
        <v>80.6</v>
      </c>
      <c r="D51" s="79" t="n">
        <f aca="false">(D38*$B$17)/1000000</f>
        <v>0</v>
      </c>
      <c r="E51" s="79" t="n">
        <f aca="false">(E38*$B$17)/1000000</f>
        <v>0</v>
      </c>
      <c r="F51" s="79" t="n">
        <f aca="false">(F38*$B$17)/1000000</f>
        <v>0</v>
      </c>
      <c r="G51" s="79" t="n">
        <f aca="false">(G38*$B$17)/1000000</f>
        <v>0</v>
      </c>
      <c r="H51" s="80" t="n">
        <f aca="false">SUM(B51:G51)</f>
        <v>120.6</v>
      </c>
      <c r="I51" s="4"/>
    </row>
    <row r="52" customFormat="false" ht="15" hidden="false" customHeight="false" outlineLevel="0" collapsed="false">
      <c r="A52" s="38" t="s">
        <v>931</v>
      </c>
      <c r="B52" s="79" t="n">
        <f aca="false">(B39*$B$9+B40*$B$18)/1000000</f>
        <v>10</v>
      </c>
      <c r="C52" s="79" t="n">
        <f aca="false">(C39*$B$9+C40*$B$18)/1000000</f>
        <v>30</v>
      </c>
      <c r="D52" s="79" t="n">
        <f aca="false">(D39*$B$9+D40*$B$18)/1000000</f>
        <v>50</v>
      </c>
      <c r="E52" s="79" t="n">
        <f aca="false">(E39*$B$9+E40*$B$18)/1000000</f>
        <v>81.7</v>
      </c>
      <c r="F52" s="79" t="n">
        <f aca="false">(F39*$B$9+F40*$B$18)/1000000</f>
        <v>106.8</v>
      </c>
      <c r="G52" s="79" t="n">
        <f aca="false">(G39*$B$9+G40*$B$18)/1000000</f>
        <v>110.2</v>
      </c>
      <c r="H52" s="80" t="n">
        <f aca="false">SUM(B52:G52)</f>
        <v>388.7</v>
      </c>
      <c r="I52" s="4" t="s">
        <v>932</v>
      </c>
    </row>
    <row r="53" customFormat="false" ht="15" hidden="false" customHeight="false" outlineLevel="0" collapsed="false">
      <c r="A53" s="38" t="s">
        <v>933</v>
      </c>
      <c r="B53" s="79" t="n">
        <f aca="false">$B$19</f>
        <v>50</v>
      </c>
      <c r="C53" s="79" t="n">
        <f aca="false">$B$19</f>
        <v>50</v>
      </c>
      <c r="D53" s="79" t="n">
        <f aca="false">$B$19</f>
        <v>50</v>
      </c>
      <c r="E53" s="79" t="n">
        <f aca="false">$B$19</f>
        <v>50</v>
      </c>
      <c r="F53" s="79" t="n">
        <f aca="false">$B$19</f>
        <v>50</v>
      </c>
      <c r="G53" s="79" t="n">
        <f aca="false">$B$19</f>
        <v>50</v>
      </c>
      <c r="H53" s="80" t="n">
        <f aca="false">SUM(B53:G53)</f>
        <v>300</v>
      </c>
      <c r="I53" s="4" t="s">
        <v>934</v>
      </c>
    </row>
    <row r="54" customFormat="false" ht="15" hidden="false" customHeight="false" outlineLevel="0" collapsed="false">
      <c r="A54" s="38" t="s">
        <v>935</v>
      </c>
      <c r="B54" s="79" t="n">
        <f aca="false">$B$20</f>
        <v>20</v>
      </c>
      <c r="C54" s="79" t="n">
        <f aca="false">0</f>
        <v>0</v>
      </c>
      <c r="D54" s="79" t="n">
        <f aca="false">0</f>
        <v>0</v>
      </c>
      <c r="E54" s="79" t="n">
        <f aca="false">0</f>
        <v>0</v>
      </c>
      <c r="F54" s="79" t="n">
        <f aca="false">0</f>
        <v>0</v>
      </c>
      <c r="G54" s="79" t="n">
        <f aca="false">0</f>
        <v>0</v>
      </c>
      <c r="H54" s="80" t="n">
        <f aca="false">SUM(B54:G54)</f>
        <v>20</v>
      </c>
      <c r="I54" s="4"/>
    </row>
    <row r="55" customFormat="false" ht="15" hidden="false" customHeight="false" outlineLevel="0" collapsed="false">
      <c r="A55" s="38" t="s">
        <v>936</v>
      </c>
      <c r="B55" s="79" t="n">
        <f aca="false">$B$21</f>
        <v>100</v>
      </c>
      <c r="C55" s="79" t="n">
        <f aca="false">$B$21</f>
        <v>100</v>
      </c>
      <c r="D55" s="79" t="n">
        <f aca="false">$B$21</f>
        <v>100</v>
      </c>
      <c r="E55" s="79" t="n">
        <f aca="false">$B$21</f>
        <v>100</v>
      </c>
      <c r="F55" s="79" t="n">
        <f aca="false">$B$21</f>
        <v>100</v>
      </c>
      <c r="G55" s="79" t="n">
        <f aca="false">$B$21</f>
        <v>100</v>
      </c>
      <c r="H55" s="80" t="n">
        <f aca="false">SUM(B55:G55)</f>
        <v>600</v>
      </c>
      <c r="I55" s="4" t="s">
        <v>934</v>
      </c>
    </row>
    <row r="56" customFormat="false" ht="15" hidden="false" customHeight="false" outlineLevel="0" collapsed="false">
      <c r="A56" s="64" t="s">
        <v>937</v>
      </c>
      <c r="B56" s="80" t="n">
        <f aca="false">SUM(B44:B55)</f>
        <v>358.274</v>
      </c>
      <c r="C56" s="80" t="n">
        <f aca="false">SUM(C44:C55)</f>
        <v>439.58725</v>
      </c>
      <c r="D56" s="80" t="n">
        <f aca="false">SUM(D44:D55)</f>
        <v>500.026</v>
      </c>
      <c r="E56" s="80" t="n">
        <f aca="false">SUM(E44:E55)</f>
        <v>597.787</v>
      </c>
      <c r="F56" s="80" t="n">
        <f aca="false">SUM(F44:F55)</f>
        <v>670.504</v>
      </c>
      <c r="G56" s="80" t="n">
        <f aca="false">SUM(G44:G55)</f>
        <v>689.66</v>
      </c>
      <c r="H56" s="80" t="n">
        <f aca="false">SUM(B56:G56)</f>
        <v>3255.83825</v>
      </c>
      <c r="I56" s="4"/>
    </row>
    <row r="58" customFormat="false" ht="21.75" hidden="false" customHeight="true" outlineLevel="0" collapsed="false">
      <c r="A58" s="46" t="s">
        <v>938</v>
      </c>
      <c r="B58" s="47"/>
      <c r="C58" s="47"/>
      <c r="D58" s="47"/>
      <c r="E58" s="47"/>
      <c r="F58" s="47"/>
      <c r="G58" s="47"/>
      <c r="H58" s="47"/>
      <c r="I58" s="47"/>
    </row>
    <row r="59" customFormat="false" ht="30" hidden="false" customHeight="true" outlineLevel="0" collapsed="false">
      <c r="A59" s="9" t="s">
        <v>137</v>
      </c>
      <c r="B59" s="9" t="s">
        <v>371</v>
      </c>
      <c r="C59" s="9" t="s">
        <v>372</v>
      </c>
      <c r="D59" s="9" t="s">
        <v>373</v>
      </c>
      <c r="E59" s="9" t="s">
        <v>374</v>
      </c>
      <c r="F59" s="9" t="s">
        <v>375</v>
      </c>
      <c r="G59" s="9" t="s">
        <v>376</v>
      </c>
      <c r="H59" s="9" t="s">
        <v>915</v>
      </c>
      <c r="I59" s="9" t="s">
        <v>916</v>
      </c>
    </row>
    <row r="60" customFormat="false" ht="15" hidden="false" customHeight="false" outlineLevel="0" collapsed="false">
      <c r="A60" s="38" t="s">
        <v>939</v>
      </c>
      <c r="B60" s="79" t="n">
        <f aca="false">((B29+B30)*$B$24*$B$23*$B$14)/1000000</f>
        <v>44.1</v>
      </c>
      <c r="C60" s="79" t="n">
        <f aca="false">((C29+C30)*$B$24*$B$23*$B$14)/1000000</f>
        <v>86.625</v>
      </c>
      <c r="D60" s="79" t="n">
        <f aca="false">((D29+D30)*$B$24*$B$23*$B$14)/1000000</f>
        <v>176.4</v>
      </c>
      <c r="E60" s="79" t="n">
        <f aca="false">((E29+E30)*$B$24*$B$23*$B$14)/1000000</f>
        <v>267.75</v>
      </c>
      <c r="F60" s="79" t="n">
        <f aca="false">((F29+F30)*$B$24*$B$23*$B$14)/1000000</f>
        <v>299.25</v>
      </c>
      <c r="G60" s="79" t="n">
        <f aca="false">((G29+G30)*$B$24*$B$23*$B$14)/1000000</f>
        <v>315</v>
      </c>
      <c r="H60" s="80" t="n">
        <f aca="false">SUM(B60:G60)</f>
        <v>1189.125</v>
      </c>
      <c r="I60" s="4" t="s">
        <v>940</v>
      </c>
    </row>
    <row r="61" customFormat="false" ht="22.35" hidden="false" customHeight="false" outlineLevel="0" collapsed="false">
      <c r="A61" s="38" t="s">
        <v>941</v>
      </c>
      <c r="B61" s="79" t="n">
        <f aca="false">((B34*0.5+B35)*$B$25*$B$15)/1000000</f>
        <v>76.65</v>
      </c>
      <c r="C61" s="79" t="n">
        <f aca="false">((C34*0.5+C35)*$B$25*$B$15)/1000000</f>
        <v>153.3</v>
      </c>
      <c r="D61" s="79" t="n">
        <f aca="false">((D34*0.5+D35)*$B$25*$B$15)/1000000</f>
        <v>229.95</v>
      </c>
      <c r="E61" s="79" t="n">
        <f aca="false">((E34*0.5+E35)*$B$25*$B$15)/1000000</f>
        <v>281.05</v>
      </c>
      <c r="F61" s="79" t="n">
        <f aca="false">((F34*0.5+F35)*$B$25*$B$15)/1000000</f>
        <v>306.6</v>
      </c>
      <c r="G61" s="79" t="n">
        <f aca="false">((G34*0.5+G35)*$B$25*$B$15)/1000000</f>
        <v>306.6</v>
      </c>
      <c r="H61" s="80" t="n">
        <f aca="false">SUM(B61:G61)</f>
        <v>1354.15</v>
      </c>
      <c r="I61" s="4" t="s">
        <v>942</v>
      </c>
    </row>
    <row r="62" customFormat="false" ht="15" hidden="false" customHeight="false" outlineLevel="0" collapsed="false">
      <c r="A62" s="38" t="s">
        <v>943</v>
      </c>
      <c r="B62" s="79" t="n">
        <f aca="false">(B30*B31*MAX(0,148-B32)*$B$11)/1000000</f>
        <v>13.7984</v>
      </c>
      <c r="C62" s="79" t="n">
        <f aca="false">(C30*C31*MAX(0,148-C32)*$B$11)/1000000</f>
        <v>42.98525</v>
      </c>
      <c r="D62" s="79" t="n">
        <f aca="false">(D30*D31*MAX(0,148-D32)*$B$11)/1000000</f>
        <v>89.03664</v>
      </c>
      <c r="E62" s="79" t="n">
        <f aca="false">(E30*E31*MAX(0,148-E32)*$B$11)/1000000</f>
        <v>135.762</v>
      </c>
      <c r="F62" s="79" t="n">
        <f aca="false">(F30*F31*MAX(0,148-F32)*$B$11)/1000000</f>
        <v>151.734</v>
      </c>
      <c r="G62" s="79" t="n">
        <f aca="false">(G30*G31*MAX(0,148-G32)*$B$11)/1000000</f>
        <v>159.72</v>
      </c>
      <c r="H62" s="80" t="n">
        <f aca="false">SUM(B62:G62)</f>
        <v>593.03629</v>
      </c>
      <c r="I62" s="4" t="s">
        <v>944</v>
      </c>
    </row>
    <row r="63" customFormat="false" ht="15" hidden="false" customHeight="false" outlineLevel="0" collapsed="false">
      <c r="A63" s="64" t="s">
        <v>945</v>
      </c>
      <c r="B63" s="80" t="n">
        <f aca="false">SUM(B60:B62)</f>
        <v>134.5484</v>
      </c>
      <c r="C63" s="80" t="n">
        <f aca="false">SUM(C60:C62)</f>
        <v>282.91025</v>
      </c>
      <c r="D63" s="80" t="n">
        <f aca="false">SUM(D60:D62)</f>
        <v>495.38664</v>
      </c>
      <c r="E63" s="80" t="n">
        <f aca="false">SUM(E60:E62)</f>
        <v>684.562</v>
      </c>
      <c r="F63" s="80" t="n">
        <f aca="false">SUM(F60:F62)</f>
        <v>757.584</v>
      </c>
      <c r="G63" s="80" t="n">
        <f aca="false">SUM(G60:G62)</f>
        <v>781.32</v>
      </c>
      <c r="H63" s="80" t="n">
        <f aca="false">SUM(B63:G63)</f>
        <v>3136.31129</v>
      </c>
      <c r="I63" s="4"/>
    </row>
    <row r="65" customFormat="false" ht="15" hidden="false" customHeight="false" outlineLevel="0" collapsed="false">
      <c r="A65" s="64" t="s">
        <v>946</v>
      </c>
      <c r="B65" s="81" t="n">
        <f aca="false">B56-B63</f>
        <v>223.7256</v>
      </c>
      <c r="C65" s="81" t="n">
        <f aca="false">C56-C63</f>
        <v>156.677</v>
      </c>
      <c r="D65" s="81" t="n">
        <f aca="false">D56-D63</f>
        <v>4.63935999999995</v>
      </c>
      <c r="E65" s="81" t="n">
        <f aca="false">E56-E63</f>
        <v>-86.7749999999999</v>
      </c>
      <c r="F65" s="81" t="n">
        <f aca="false">F56-F63</f>
        <v>-87.08</v>
      </c>
      <c r="G65" s="81" t="n">
        <f aca="false">G56-G63</f>
        <v>-91.6600000000001</v>
      </c>
      <c r="H65" s="81" t="n">
        <f aca="false">SUM(B65:G65)</f>
        <v>119.52696</v>
      </c>
    </row>
    <row r="66" customFormat="false" ht="15" hidden="false" customHeight="false" outlineLevel="0" collapsed="false">
      <c r="A66" s="38" t="s">
        <v>947</v>
      </c>
      <c r="B66" s="36" t="n">
        <f aca="false">B56*1000000/(B29+B30)</f>
        <v>25591</v>
      </c>
      <c r="C66" s="36" t="n">
        <f aca="false">C56*1000000/(C29+C30)</f>
        <v>15984.9909090909</v>
      </c>
      <c r="D66" s="36" t="n">
        <f aca="false">D56*1000000/(D29+D30)</f>
        <v>8929.03571428571</v>
      </c>
      <c r="E66" s="36" t="n">
        <f aca="false">E56*1000000/(E29+E30)</f>
        <v>7032.78823529412</v>
      </c>
      <c r="F66" s="36" t="n">
        <f aca="false">F56*1000000/(F29+F30)</f>
        <v>7057.93684210526</v>
      </c>
      <c r="G66" s="36" t="n">
        <f aca="false">G56*1000000/(G29+G30)</f>
        <v>6896.6</v>
      </c>
    </row>
    <row r="67" customFormat="false" ht="23.85" hidden="false" customHeight="false" outlineLevel="0" collapsed="false">
      <c r="A67" s="38" t="s">
        <v>948</v>
      </c>
      <c r="B67" s="36" t="n">
        <f aca="false">(B44+B45+B46)*1000000/(B29+B30)</f>
        <v>7116</v>
      </c>
      <c r="C67" s="36" t="n">
        <f aca="false">(C44+C45+C46)*1000000/(C29+C30)</f>
        <v>5263.5</v>
      </c>
      <c r="D67" s="36" t="n">
        <f aca="false">(D44+D45+D46)*1000000/(D29+D30)</f>
        <v>4417.5</v>
      </c>
      <c r="E67" s="36" t="n">
        <f aca="false">(E44+E45+E46)*1000000/(E29+E30)</f>
        <v>3819</v>
      </c>
      <c r="F67" s="36" t="n">
        <f aca="false">(F44+F45+F46)*1000000/(F29+F30)</f>
        <v>3819</v>
      </c>
      <c r="G67" s="36" t="n">
        <f aca="false">(G44+G45+G46)*1000000/(G29+G30)</f>
        <v>3819</v>
      </c>
    </row>
    <row r="68" customFormat="false" ht="15" hidden="false" customHeight="false" outlineLevel="0" collapsed="false">
      <c r="A68" s="38" t="s">
        <v>949</v>
      </c>
      <c r="B68" s="36" t="n">
        <f aca="false">(B56-B63)*1000000/(B29+B30)</f>
        <v>15980.4</v>
      </c>
      <c r="C68" s="36" t="n">
        <f aca="false">(C56-C63)*1000000/(C29+C30)</f>
        <v>5697.34545454545</v>
      </c>
      <c r="D68" s="36" t="n">
        <f aca="false">(D56-D63)*1000000/(D29+D30)</f>
        <v>82.8457142857135</v>
      </c>
      <c r="E68" s="36" t="n">
        <f aca="false">(E56-E63)*1000000/(E29+E30)</f>
        <v>-1020.88235294117</v>
      </c>
      <c r="F68" s="36" t="n">
        <f aca="false">(F56-F63)*1000000/(F29+F30)</f>
        <v>-916.631578947369</v>
      </c>
      <c r="G68" s="36" t="n">
        <f aca="false">(G56-G63)*1000000/(G29+G30)</f>
        <v>-916.600000000001</v>
      </c>
    </row>
    <row r="70" customFormat="false" ht="21.75" hidden="false" customHeight="true" outlineLevel="0" collapsed="false">
      <c r="A70" s="46" t="s">
        <v>950</v>
      </c>
      <c r="B70" s="47"/>
      <c r="C70" s="47"/>
      <c r="D70" s="47"/>
      <c r="E70" s="47"/>
      <c r="F70" s="47"/>
      <c r="G70" s="47"/>
      <c r="H70" s="47"/>
      <c r="I70" s="47"/>
    </row>
    <row r="71" customFormat="false" ht="22.35" hidden="false" customHeight="false" outlineLevel="0" collapsed="false">
      <c r="A71" s="38" t="s">
        <v>951</v>
      </c>
      <c r="B71" s="36" t="n">
        <v>96</v>
      </c>
      <c r="I71" s="4" t="s">
        <v>952</v>
      </c>
    </row>
    <row r="72" customFormat="false" ht="15" hidden="false" customHeight="false" outlineLevel="0" collapsed="false">
      <c r="A72" s="38" t="s">
        <v>953</v>
      </c>
      <c r="B72" s="79" t="n">
        <v>74.2</v>
      </c>
      <c r="I72" s="4" t="s">
        <v>954</v>
      </c>
    </row>
    <row r="73" customFormat="false" ht="15" hidden="false" customHeight="false" outlineLevel="0" collapsed="false">
      <c r="A73" s="38" t="s">
        <v>955</v>
      </c>
      <c r="B73" s="36" t="n">
        <v>650</v>
      </c>
      <c r="I73" s="4" t="s">
        <v>956</v>
      </c>
    </row>
    <row r="74" customFormat="false" ht="15" hidden="false" customHeight="false" outlineLevel="0" collapsed="false">
      <c r="A74" s="38" t="s">
        <v>957</v>
      </c>
      <c r="B74" s="36" t="n">
        <v>4</v>
      </c>
      <c r="I74" s="4" t="s">
        <v>958</v>
      </c>
    </row>
    <row r="75" customFormat="false" ht="15" hidden="false" customHeight="false" outlineLevel="0" collapsed="false">
      <c r="A75" s="38" t="s">
        <v>959</v>
      </c>
      <c r="B75" s="36" t="n">
        <v>16560</v>
      </c>
      <c r="I75" s="4" t="s">
        <v>960</v>
      </c>
    </row>
    <row r="76" customFormat="false" ht="15" hidden="false" customHeight="false" outlineLevel="0" collapsed="false">
      <c r="A76" s="38" t="s">
        <v>961</v>
      </c>
      <c r="B76" s="36" t="n">
        <v>2600</v>
      </c>
      <c r="I76" s="4" t="s">
        <v>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2026-10-20T15:38:45Z</dcterms:created>
  <dc:creator>openpyxl</dc:creator>
  <dc:description/>
  <dc:language>en-US</dc:language>
  <cp:lastModifiedBy/>
  <dcterms:modified xsi:type="dcterms:W3CDTF">2026-10-20T15:38:45Z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